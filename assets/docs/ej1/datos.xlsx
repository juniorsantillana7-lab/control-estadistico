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a 1" sheetId="1" r:id="rId5"/>
    <sheet state="visible" name="problema 2" sheetId="2" r:id="rId6"/>
    <sheet state="visible" name="problema 3" sheetId="3" r:id="rId7"/>
  </sheets>
  <definedNames/>
  <calcPr/>
</workbook>
</file>

<file path=xl/sharedStrings.xml><?xml version="1.0" encoding="utf-8"?>
<sst xmlns="http://schemas.openxmlformats.org/spreadsheetml/2006/main" count="506" uniqueCount="280">
  <si>
    <t>PROBLEMA #1 - DISEÑO FACTORIAL COMPLETAMENTE ALEATORIZADO</t>
  </si>
  <si>
    <t>Variable respuesta: Nº de sacos de harina de 25kg que NO cumplen estándares</t>
  </si>
  <si>
    <t>DATOS ORIGINALES</t>
  </si>
  <si>
    <t>B = hombre</t>
  </si>
  <si>
    <t>A = máquina</t>
  </si>
  <si>
    <t>M1</t>
  </si>
  <si>
    <t>M2</t>
  </si>
  <si>
    <t>M3</t>
  </si>
  <si>
    <t>M4</t>
  </si>
  <si>
    <t>M5</t>
  </si>
  <si>
    <t>M6</t>
  </si>
  <si>
    <t>I</t>
  </si>
  <si>
    <t>II</t>
  </si>
  <si>
    <t>III</t>
  </si>
  <si>
    <t>IV</t>
  </si>
  <si>
    <t>SOLUCIÓN</t>
  </si>
  <si>
    <t>Parámetros:</t>
  </si>
  <si>
    <t>a =</t>
  </si>
  <si>
    <t>b =</t>
  </si>
  <si>
    <t>n =</t>
  </si>
  <si>
    <t>N =</t>
  </si>
  <si>
    <t>HIPÓTESIS</t>
  </si>
  <si>
    <t>Factor A (Máquina):</t>
  </si>
  <si>
    <t>Ho:</t>
  </si>
  <si>
    <t>μ1=μ2=μ3=μ4=μ5=μ6</t>
  </si>
  <si>
    <t>Ha:</t>
  </si>
  <si>
    <t>Al menos un μi≠μj  para algún i≠j</t>
  </si>
  <si>
    <t>Factor B (Hombre):</t>
  </si>
  <si>
    <t>μ1=μ2=μ3=μ4</t>
  </si>
  <si>
    <t>Interacción AxB:</t>
  </si>
  <si>
    <t>No existe interacción</t>
  </si>
  <si>
    <t>Sí existe interacción entre máquina y hombre</t>
  </si>
  <si>
    <t>Tabla de Subtotales Tij  (suma de las 3 réplicas por celda)</t>
  </si>
  <si>
    <t>Total Ti.</t>
  </si>
  <si>
    <t>Promedio</t>
  </si>
  <si>
    <t>Total T.j</t>
  </si>
  <si>
    <t>Paso 1</t>
  </si>
  <si>
    <t>FC =</t>
  </si>
  <si>
    <t>G² / N =</t>
  </si>
  <si>
    <t>430² / 72 =</t>
  </si>
  <si>
    <t>Paso 2</t>
  </si>
  <si>
    <t>SCT =</t>
  </si>
  <si>
    <t>Σ(Yijk²) − FC =</t>
  </si>
  <si>
    <t>3402 − 2568.0556 =</t>
  </si>
  <si>
    <t>Paso 3</t>
  </si>
  <si>
    <t>SC_B (Hombre) =</t>
  </si>
  <si>
    <t>[Σ(Ti.²) / (a·n)] − FC =</t>
  </si>
  <si>
    <t>52132 / 18 − 2568.0556 =</t>
  </si>
  <si>
    <t>Paso 4</t>
  </si>
  <si>
    <t>SC_A (Máquina) =</t>
  </si>
  <si>
    <t>[Σ(T.j²) / (b·n)] − FC =</t>
  </si>
  <si>
    <t>32600 / 12 − 2568.0556 =</t>
  </si>
  <si>
    <t>Paso 5</t>
  </si>
  <si>
    <t>SC_AxB =</t>
  </si>
  <si>
    <t>[Σ(Tij²)/n] − FC − SC_A − SC_B =</t>
  </si>
  <si>
    <t>3249.3333 − 2568.0556 − 148.6111 − 328.1667 =</t>
  </si>
  <si>
    <t>Paso 5b</t>
  </si>
  <si>
    <t>SC_Error =</t>
  </si>
  <si>
    <t>SCT − SC_A − SC_B − SC_AxB =</t>
  </si>
  <si>
    <t>833.9444 − 148.6111 − 328.1667 − 204.5 =</t>
  </si>
  <si>
    <t>Paso 6</t>
  </si>
  <si>
    <t>ANOVA</t>
  </si>
  <si>
    <t>Fuente de Variabilidad</t>
  </si>
  <si>
    <t>Suma de Cuadrados</t>
  </si>
  <si>
    <t>Grados de Libertad</t>
  </si>
  <si>
    <t>Cuadrado Medio</t>
  </si>
  <si>
    <t>Fc</t>
  </si>
  <si>
    <t>Ft (α=0.05)</t>
  </si>
  <si>
    <t>A: Máquina</t>
  </si>
  <si>
    <t>B: Hombre</t>
  </si>
  <si>
    <t>Interacción AxB</t>
  </si>
  <si>
    <t>Error</t>
  </si>
  <si>
    <t>Total</t>
  </si>
  <si>
    <t>Fc &gt; Ft</t>
  </si>
  <si>
    <t>El tipo de MÁQUINA sí influye significativamente en la producción de sacos defectuosos</t>
  </si>
  <si>
    <t>El tipo de OPERARIO sí influye significativamente en la producción de sacos defectuosos</t>
  </si>
  <si>
    <t>La INTERACCIÓN Máquina×Operario sí es significativa</t>
  </si>
  <si>
    <t>Paso 7</t>
  </si>
  <si>
    <t>PRUEBA DE TUKEY - Factor A: Maquina</t>
  </si>
  <si>
    <t>CME =</t>
  </si>
  <si>
    <t>ni = b*n =</t>
  </si>
  <si>
    <t>GL_Error =</t>
  </si>
  <si>
    <t>q(0.05,6,48) =</t>
  </si>
  <si>
    <t>Talpha =</t>
  </si>
  <si>
    <t>Medias Maquina (menor a mayor):</t>
  </si>
  <si>
    <t>Comparacion</t>
  </si>
  <si>
    <t>Diferencia</t>
  </si>
  <si>
    <t>Talpha</t>
  </si>
  <si>
    <t>Decision</t>
  </si>
  <si>
    <t>M1 - M5</t>
  </si>
  <si>
    <t>SI - significativa</t>
  </si>
  <si>
    <t>M1 - M6</t>
  </si>
  <si>
    <t>M1 - M4</t>
  </si>
  <si>
    <t>NO - no significativa</t>
  </si>
  <si>
    <t>M1 - M2</t>
  </si>
  <si>
    <t>M1 - M3</t>
  </si>
  <si>
    <t>M3 - M5</t>
  </si>
  <si>
    <t>M3 - M6</t>
  </si>
  <si>
    <t>M2 - M5</t>
  </si>
  <si>
    <t>M2 - M6</t>
  </si>
  <si>
    <t>Resto de comparaciones</t>
  </si>
  <si>
    <t>&lt;2.167</t>
  </si>
  <si>
    <t>CONCLUSION A:</t>
  </si>
  <si>
    <t>M1, M2 y M3 generan MAS defectuosos que M5 y M6</t>
  </si>
  <si>
    <t>M4 no difiere significativamente de ninguna maquina</t>
  </si>
  <si>
    <t>Paso 8</t>
  </si>
  <si>
    <t>PRUEBA DE TUKEY - Factor B: Hombre</t>
  </si>
  <si>
    <t>ni = a*n =</t>
  </si>
  <si>
    <t>q(0.05,4,48) =</t>
  </si>
  <si>
    <t>Medias Hombre (menor a mayor):</t>
  </si>
  <si>
    <t>I - IV</t>
  </si>
  <si>
    <t>I - II</t>
  </si>
  <si>
    <t>I - III</t>
  </si>
  <si>
    <t>III - IV</t>
  </si>
  <si>
    <t>III - II</t>
  </si>
  <si>
    <t>II - IV</t>
  </si>
  <si>
    <t>CONCLUSION B:</t>
  </si>
  <si>
    <t>Hombres I y III causan MAS defectuosos que II y IV</t>
  </si>
  <si>
    <t>I y III no difieren entre si. IV es el operario con MEJOR desempeno.</t>
  </si>
  <si>
    <t>PROBLEMA #2 - CUADRADO LATINO 4×4 CON DATO PERDIDO</t>
  </si>
  <si>
    <t>Variable respuesta: Tiempo de ensamblaje (min) de un componente para televisores a color</t>
  </si>
  <si>
    <t>DATOS ORIGINALES  (dato C=Y en Orden Montaje 3 / Operador 3 es desconocido)</t>
  </si>
  <si>
    <t>Operador</t>
  </si>
  <si>
    <t>Orden de Montaje</t>
  </si>
  <si>
    <t>C=10</t>
  </si>
  <si>
    <t>D=14</t>
  </si>
  <si>
    <t>A=7</t>
  </si>
  <si>
    <t>B=8</t>
  </si>
  <si>
    <t>B=7</t>
  </si>
  <si>
    <t>C=18</t>
  </si>
  <si>
    <t>D=11</t>
  </si>
  <si>
    <t>A=8</t>
  </si>
  <si>
    <t>A=5</t>
  </si>
  <si>
    <t>B=10</t>
  </si>
  <si>
    <t>C=Y</t>
  </si>
  <si>
    <t>D=9</t>
  </si>
  <si>
    <t>D=10</t>
  </si>
  <si>
    <t>A=10</t>
  </si>
  <si>
    <t>B=12</t>
  </si>
  <si>
    <t>C=14</t>
  </si>
  <si>
    <t>p =</t>
  </si>
  <si>
    <t>N = p² =</t>
  </si>
  <si>
    <t>Ord. Montaje (Filas):</t>
  </si>
  <si>
    <t>Operador (Columnas):</t>
  </si>
  <si>
    <t>Método (Trat.):</t>
  </si>
  <si>
    <t>μA=μB=μC=μD</t>
  </si>
  <si>
    <t>DATO PERDIDO — Estimación por Fórmula de Yates</t>
  </si>
  <si>
    <t>Ubicación: Orden Montaje 3  |  Operador 3  |  Método C = Y (desconocido)</t>
  </si>
  <si>
    <t>G (gran total sin dato perdido) =</t>
  </si>
  <si>
    <t>10+14+7+8+7+18+11+8+5+10+9+10+10+12+14 =</t>
  </si>
  <si>
    <t>R (suma fila 3 sin dato perdido) =</t>
  </si>
  <si>
    <t>A=5 + B=10 + D=9 =</t>
  </si>
  <si>
    <t>C (suma col 3 sin dato perdido) =</t>
  </si>
  <si>
    <t>A=7 + D=11 + B=12 =</t>
  </si>
  <si>
    <t>T (suma Método C sin dato perdido) =</t>
  </si>
  <si>
    <t>C=10 + C=18 + C=14 =</t>
  </si>
  <si>
    <t>Y' = [p*(R+C+T) − 2*G] / [(p−1)*(p−2)]</t>
  </si>
  <si>
    <t>⟹</t>
  </si>
  <si>
    <t>[4*(24+30+42) − 2*153] / [(3)*(2)] =</t>
  </si>
  <si>
    <t>(384−306) / 6 =</t>
  </si>
  <si>
    <t>Tabla de Subtotales (con Y'=13 sustituido en fila 3, col 3)</t>
  </si>
  <si>
    <t>O1</t>
  </si>
  <si>
    <t>O2</t>
  </si>
  <si>
    <t>O3</t>
  </si>
  <si>
    <t>O4</t>
  </si>
  <si>
    <t>Ti. (Ord. Mont.)</t>
  </si>
  <si>
    <t>Media</t>
  </si>
  <si>
    <t>C=13*</t>
  </si>
  <si>
    <t>T.j (Operador)</t>
  </si>
  <si>
    <t>G (total)</t>
  </si>
  <si>
    <t>Totales por Método (Tratamiento)</t>
  </si>
  <si>
    <t>Método</t>
  </si>
  <si>
    <t>A</t>
  </si>
  <si>
    <t>B</t>
  </si>
  <si>
    <t>C</t>
  </si>
  <si>
    <t>D</t>
  </si>
  <si>
    <t>Total Tk</t>
  </si>
  <si>
    <t>Media Ȳk</t>
  </si>
  <si>
    <t>166² / 16 =</t>
  </si>
  <si>
    <t>Σ(Yij²) − FC =</t>
  </si>
  <si>
    <t>1882 − 1722,2500 =</t>
  </si>
  <si>
    <t>SC_Ord.Montaje =</t>
  </si>
  <si>
    <t>[Σ(Ti.²)/p] − FC =</t>
  </si>
  <si>
    <t>6942 / 4 − 1722,25 =</t>
  </si>
  <si>
    <t>SC_Operador =</t>
  </si>
  <si>
    <t>[Σ(T.j²)/p] − FC =</t>
  </si>
  <si>
    <t>7098 / 4 − 1722,25 =</t>
  </si>
  <si>
    <t>SC_Método =</t>
  </si>
  <si>
    <t>[Σ(Tk²)/p] − FC =</t>
  </si>
  <si>
    <t>7230 / 4 − 1722,25 =</t>
  </si>
  <si>
    <t>SCT − SC_F − SC_C − SC_T =</t>
  </si>
  <si>
    <t>159,75 − 13,25 − 52,25 − 85,25 =</t>
  </si>
  <si>
    <t>ANOVA  (gl_Error = (p−1)(p−2)−1 = 5  por el dato estimado)</t>
  </si>
  <si>
    <t>Ft (α=0,05)</t>
  </si>
  <si>
    <t>Ord. Montaje</t>
  </si>
  <si>
    <t>Error* (gl=5)</t>
  </si>
  <si>
    <t>* gl_Error = (p−1)(p−2)−1 = 5  |  Y' estimado = 13,0000  |  G (sin dato) = 153</t>
  </si>
  <si>
    <t>Fc &lt; Ft</t>
  </si>
  <si>
    <t>El Orden de Montaje NO influye significativamente en el tiempo de ensamblaje</t>
  </si>
  <si>
    <t>El Operador SÍ influye significativamente en el tiempo de ensamblaje</t>
  </si>
  <si>
    <t>El Método SÍ influye significativamente en el tiempo de ensamblaje</t>
  </si>
  <si>
    <t>PRUEBA DE TUKEY - Operador (Fc &gt; Ft  →  significativo)</t>
  </si>
  <si>
    <t>ni = p =</t>
  </si>
  <si>
    <t>q(0,05; 4; 5) =</t>
  </si>
  <si>
    <t>T_alpha =</t>
  </si>
  <si>
    <t>Medias por Operador (ordenadas menor a mayor):</t>
  </si>
  <si>
    <t>Comparación</t>
  </si>
  <si>
    <t>T_alpha</t>
  </si>
  <si>
    <t>Decisión</t>
  </si>
  <si>
    <t>O2 − O1</t>
  </si>
  <si>
    <t>O2 − O4</t>
  </si>
  <si>
    <t>O2 − O3</t>
  </si>
  <si>
    <t>O3 − O1</t>
  </si>
  <si>
    <t>O3 − O4</t>
  </si>
  <si>
    <t>O4 − O1</t>
  </si>
  <si>
    <t>CONCLUSIÓN:</t>
  </si>
  <si>
    <t>Operador O2 (media=13,0 min) tarda significativamente más que O1 (8,0 min). Los demás pares no difieren.</t>
  </si>
  <si>
    <t>PRUEBA DE TUKEY - Método (Fc &gt; Ft  →  significativo)</t>
  </si>
  <si>
    <t>Medias por Método (ordenadas menor a mayor):</t>
  </si>
  <si>
    <t>C − A</t>
  </si>
  <si>
    <t>C − B</t>
  </si>
  <si>
    <t>C − D</t>
  </si>
  <si>
    <t>D − A</t>
  </si>
  <si>
    <t>D − B</t>
  </si>
  <si>
    <t>B − A</t>
  </si>
  <si>
    <t>Método C (13,75 min) tarda sig. más que A (7,5 min) y B (9,25 min). Método A es el más rápido.</t>
  </si>
  <si>
    <t>D−A: diferencia=3,5 min, ligeramente por debajo del umbral 3,5006 (no significativa pero muy cercana)</t>
  </si>
  <si>
    <t>PROBLEMA #3 - CUADRADO LATINO 4×4</t>
  </si>
  <si>
    <t>Variable respuesta: Peso en gramos del material (Proveedores A, B, C, D)</t>
  </si>
  <si>
    <t>Escala</t>
  </si>
  <si>
    <t>Inspector</t>
  </si>
  <si>
    <t>A=16</t>
  </si>
  <si>
    <t>C=11</t>
  </si>
  <si>
    <t>D=13</t>
  </si>
  <si>
    <t>B=15</t>
  </si>
  <si>
    <t>C=9</t>
  </si>
  <si>
    <t>A=13</t>
  </si>
  <si>
    <t>C=13</t>
  </si>
  <si>
    <t>D=12</t>
  </si>
  <si>
    <t>A=17</t>
  </si>
  <si>
    <t>B=14</t>
  </si>
  <si>
    <t>D=16</t>
  </si>
  <si>
    <t>A=15</t>
  </si>
  <si>
    <t>B=13</t>
  </si>
  <si>
    <t>Inspector (Filas):</t>
  </si>
  <si>
    <t>μI=μII=μIII=μIV</t>
  </si>
  <si>
    <t>Escala (Columnas):</t>
  </si>
  <si>
    <t>Proveedor (Trat.):</t>
  </si>
  <si>
    <t>Tabla de Subtotales</t>
  </si>
  <si>
    <t>E1</t>
  </si>
  <si>
    <t>E2</t>
  </si>
  <si>
    <t>E3</t>
  </si>
  <si>
    <t>E4</t>
  </si>
  <si>
    <t>Ti. (Inspector)</t>
  </si>
  <si>
    <t>T.j (Escala)</t>
  </si>
  <si>
    <t>Totales por Proveedor (Tratamiento)</t>
  </si>
  <si>
    <t>Proveedor</t>
  </si>
  <si>
    <t>212² / 16 =</t>
  </si>
  <si>
    <t>2886 − 2809,0000 =</t>
  </si>
  <si>
    <t>SC_Inspector =</t>
  </si>
  <si>
    <t>11262 / 4 − 2809 =</t>
  </si>
  <si>
    <t>SC_Escala =</t>
  </si>
  <si>
    <t>11342 / 4 − 2809 =</t>
  </si>
  <si>
    <t>SC_Proveedor =</t>
  </si>
  <si>
    <t>11386 / 4 − 2809 =</t>
  </si>
  <si>
    <t>77 − 6,5 − 26,5 − 37,5 =</t>
  </si>
  <si>
    <t>El Inspector NO influye significativamente en el peso medido</t>
  </si>
  <si>
    <t>La Escala SÍ influye significativamente en el peso medido</t>
  </si>
  <si>
    <t>El Proveedor SÍ influye significativamente en el peso medido</t>
  </si>
  <si>
    <t>PRUEBA DE TUKEY - Proveedor (Fc &gt; Ft  →  significativo)</t>
  </si>
  <si>
    <t>q(0,05; 4; 6) =</t>
  </si>
  <si>
    <t>Medias por Proveedor (ordenadas de menor a mayor):</t>
  </si>
  <si>
    <t>A − C</t>
  </si>
  <si>
    <t>A − D</t>
  </si>
  <si>
    <t>A − B</t>
  </si>
  <si>
    <t>D − C</t>
  </si>
  <si>
    <t>B − C</t>
  </si>
  <si>
    <t>Proveedor C (media=11,0g) tiene el menor peso, difiere sig. de A (15,25g) y D (13,75g)</t>
  </si>
  <si>
    <t>Proveedor B (13,0g) no difiere significativamente de ningún otro proveedor</t>
  </si>
  <si>
    <t>Proveedores A y D entre sí NO difieren significativamente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</si>
</sst>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rgb="FFCC0000"/>
      <name val="Arial"/>
      <scheme val="minor"/>
    </font>
    <font>
      <b/>
      <color rgb="FF196619"/>
      <name val="Arial"/>
      <scheme val="minor"/>
    </font>
    <font>
      <color rgb="FF333333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8FB9DC"/>
        <bgColor rgb="FF8FB9DC"/>
      </patternFill>
    </fill>
    <fill>
      <patternFill patternType="solid">
        <fgColor rgb="FFBDD7EE"/>
        <bgColor rgb="FFBDD7EE"/>
      </patternFill>
    </fill>
    <fill>
      <patternFill patternType="solid">
        <fgColor rgb="FFFFE599"/>
        <bgColor rgb="FFFFE599"/>
      </patternFill>
    </fill>
    <fill>
      <patternFill patternType="solid">
        <fgColor rgb="FFC6EFCE"/>
        <bgColor rgb="FFC6EFCE"/>
      </patternFill>
    </fill>
    <fill>
      <patternFill patternType="solid">
        <fgColor rgb="FFFDF2DA"/>
        <bgColor rgb="FFFDF2DA"/>
      </patternFill>
    </fill>
    <fill>
      <patternFill patternType="solid">
        <fgColor rgb="FFEAECEE"/>
        <bgColor rgb="FFEAECEE"/>
      </patternFill>
    </fill>
    <fill>
      <patternFill patternType="solid">
        <fgColor rgb="FFFFC078"/>
        <bgColor rgb="FFFFC078"/>
      </patternFill>
    </fill>
    <fill>
      <patternFill patternType="solid">
        <fgColor rgb="FFEBEBEB"/>
        <bgColor rgb="FFEBEBEB"/>
      </patternFill>
    </fill>
  </fills>
  <borders count="2">
    <border/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3" numFmtId="0" xfId="0" applyFont="1"/>
    <xf borderId="1" fillId="2" fontId="3" numFmtId="0" xfId="0" applyBorder="1" applyFont="1"/>
    <xf borderId="1" fillId="2" fontId="3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Alignment="1" applyFont="1">
      <alignment readingOrder="0"/>
    </xf>
    <xf borderId="1" fillId="3" fontId="3" numFmtId="0" xfId="0" applyAlignment="1" applyBorder="1" applyFont="1">
      <alignment readingOrder="0"/>
    </xf>
    <xf borderId="0" fillId="4" fontId="3" numFmtId="0" xfId="0" applyAlignment="1" applyFill="1" applyFont="1">
      <alignment readingOrder="0"/>
    </xf>
    <xf borderId="0" fillId="0" fontId="5" numFmtId="0" xfId="0" applyFont="1"/>
    <xf borderId="1" fillId="5" fontId="3" numFmtId="0" xfId="0" applyAlignment="1" applyBorder="1" applyFill="1" applyFont="1">
      <alignment readingOrder="0"/>
    </xf>
    <xf borderId="1" fillId="5" fontId="3" numFmtId="0" xfId="0" applyAlignment="1" applyBorder="1" applyFont="1">
      <alignment readingOrder="0"/>
    </xf>
    <xf borderId="1" fillId="5" fontId="3" numFmtId="0" xfId="0" applyBorder="1" applyFont="1"/>
    <xf borderId="1" fillId="6" fontId="4" numFmtId="0" xfId="0" applyAlignment="1" applyBorder="1" applyFill="1" applyFont="1">
      <alignment readingOrder="0"/>
    </xf>
    <xf borderId="1" fillId="6" fontId="4" numFmtId="0" xfId="0" applyAlignment="1" applyBorder="1" applyFont="1">
      <alignment readingOrder="0"/>
    </xf>
    <xf borderId="1" fillId="6" fontId="4" numFmtId="0" xfId="0" applyBorder="1" applyFont="1"/>
    <xf borderId="1" fillId="7" fontId="4" numFmtId="0" xfId="0" applyAlignment="1" applyBorder="1" applyFill="1" applyFont="1">
      <alignment readingOrder="0"/>
    </xf>
    <xf borderId="1" fillId="7" fontId="4" numFmtId="0" xfId="0" applyAlignment="1" applyBorder="1" applyFont="1">
      <alignment readingOrder="0"/>
    </xf>
    <xf borderId="1" fillId="7" fontId="4" numFmtId="0" xfId="0" applyBorder="1" applyFont="1"/>
    <xf borderId="0" fillId="0" fontId="6" numFmtId="0" xfId="0" applyFont="1"/>
    <xf borderId="0" fillId="0" fontId="6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5" numFmtId="0" xfId="0" applyFont="1"/>
    <xf borderId="0" fillId="3" fontId="4" numFmtId="0" xfId="0" applyAlignment="1" applyFont="1">
      <alignment readingOrder="0"/>
    </xf>
    <xf borderId="0" fillId="3" fontId="4" numFmtId="0" xfId="0" applyFont="1"/>
    <xf borderId="0" fillId="3" fontId="3" numFmtId="0" xfId="0" applyAlignment="1" applyFont="1">
      <alignment readingOrder="0"/>
    </xf>
    <xf borderId="0" fillId="4" fontId="4" numFmtId="0" xfId="0" applyAlignment="1" applyFont="1">
      <alignment readingOrder="0"/>
    </xf>
    <xf borderId="1" fillId="5" fontId="7" numFmtId="0" xfId="0" applyAlignment="1" applyBorder="1" applyFont="1">
      <alignment readingOrder="0"/>
    </xf>
    <xf borderId="1" fillId="5" fontId="7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3" xfId="0" applyAlignment="1" applyBorder="1" applyFont="1" applyNumberFormat="1">
      <alignment readingOrder="0"/>
    </xf>
    <xf borderId="0" fillId="3" fontId="3" numFmtId="0" xfId="0" applyFont="1"/>
    <xf borderId="0" fillId="4" fontId="4" numFmtId="0" xfId="0" applyFont="1"/>
    <xf borderId="0" fillId="2" fontId="3" numFmtId="0" xfId="0" applyAlignment="1" applyFont="1">
      <alignment readingOrder="0"/>
    </xf>
    <xf borderId="1" fillId="8" fontId="4" numFmtId="0" xfId="0" applyAlignment="1" applyBorder="1" applyFill="1" applyFont="1">
      <alignment readingOrder="0"/>
    </xf>
    <xf borderId="0" fillId="8" fontId="4" numFmtId="0" xfId="0" applyAlignment="1" applyFont="1">
      <alignment readingOrder="0"/>
    </xf>
    <xf borderId="0" fillId="8" fontId="4" numFmtId="0" xfId="0" applyFont="1"/>
    <xf borderId="1" fillId="4" fontId="4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1" fillId="9" fontId="4" numFmtId="0" xfId="0" applyAlignment="1" applyBorder="1" applyFill="1" applyFont="1">
      <alignment readingOrder="0"/>
    </xf>
    <xf borderId="1" fillId="9" fontId="4" numFmtId="0" xfId="0" applyBorder="1" applyFont="1"/>
    <xf borderId="0" fillId="0" fontId="8" numFmtId="0" xfId="0" applyFont="1"/>
    <xf borderId="0" fillId="0" fontId="8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</row>
    <row r="4">
      <c r="A4" s="5" t="s">
        <v>2</v>
      </c>
      <c r="B4" s="6"/>
      <c r="C4" s="6"/>
      <c r="D4" s="6"/>
      <c r="E4" s="6"/>
      <c r="F4" s="6"/>
      <c r="G4" s="6"/>
      <c r="H4" s="6"/>
      <c r="I4" s="6"/>
    </row>
    <row r="5">
      <c r="A5" s="5" t="s">
        <v>3</v>
      </c>
      <c r="B5" s="6"/>
      <c r="C5" s="5" t="s">
        <v>4</v>
      </c>
      <c r="D5" s="6"/>
      <c r="E5" s="6"/>
      <c r="F5" s="6"/>
      <c r="G5" s="6"/>
      <c r="H5" s="6"/>
      <c r="I5" s="6"/>
    </row>
    <row r="6">
      <c r="A6" s="7"/>
      <c r="B6" s="7"/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7"/>
    </row>
    <row r="7">
      <c r="A7" s="9" t="s">
        <v>11</v>
      </c>
      <c r="B7" s="10"/>
      <c r="C7" s="11">
        <v>10.0</v>
      </c>
      <c r="D7" s="11">
        <v>12.0</v>
      </c>
      <c r="E7" s="11">
        <v>15.0</v>
      </c>
      <c r="F7" s="11">
        <v>8.0</v>
      </c>
      <c r="G7" s="11">
        <v>5.0</v>
      </c>
      <c r="H7" s="11">
        <v>5.0</v>
      </c>
      <c r="I7" s="12"/>
    </row>
    <row r="8">
      <c r="A8" s="10"/>
      <c r="B8" s="10"/>
      <c r="C8" s="11">
        <v>8.0</v>
      </c>
      <c r="D8" s="11">
        <v>13.0</v>
      </c>
      <c r="E8" s="11">
        <v>13.0</v>
      </c>
      <c r="F8" s="11">
        <v>5.0</v>
      </c>
      <c r="G8" s="11">
        <v>7.0</v>
      </c>
      <c r="H8" s="11">
        <v>6.0</v>
      </c>
      <c r="I8" s="12"/>
    </row>
    <row r="9">
      <c r="A9" s="10"/>
      <c r="B9" s="10"/>
      <c r="C9" s="11">
        <v>7.0</v>
      </c>
      <c r="D9" s="11">
        <v>15.0</v>
      </c>
      <c r="E9" s="11">
        <v>10.0</v>
      </c>
      <c r="F9" s="11">
        <v>6.0</v>
      </c>
      <c r="G9" s="11">
        <v>4.0</v>
      </c>
      <c r="H9" s="11">
        <v>3.0</v>
      </c>
      <c r="I9" s="12"/>
    </row>
    <row r="10">
      <c r="A10" s="9" t="s">
        <v>12</v>
      </c>
      <c r="B10" s="10"/>
      <c r="C10" s="11">
        <v>5.0</v>
      </c>
      <c r="D10" s="11">
        <v>4.0</v>
      </c>
      <c r="E10" s="11">
        <v>6.0</v>
      </c>
      <c r="F10" s="11">
        <v>5.0</v>
      </c>
      <c r="G10" s="11">
        <v>5.0</v>
      </c>
      <c r="H10" s="11">
        <v>4.0</v>
      </c>
      <c r="I10" s="12"/>
    </row>
    <row r="11">
      <c r="A11" s="10"/>
      <c r="B11" s="10"/>
      <c r="C11" s="11">
        <v>6.0</v>
      </c>
      <c r="D11" s="11">
        <v>5.0</v>
      </c>
      <c r="E11" s="11">
        <v>6.0</v>
      </c>
      <c r="F11" s="11">
        <v>5.0</v>
      </c>
      <c r="G11" s="11">
        <v>4.0</v>
      </c>
      <c r="H11" s="11">
        <v>3.0</v>
      </c>
      <c r="I11" s="12"/>
    </row>
    <row r="12">
      <c r="A12" s="10"/>
      <c r="B12" s="10"/>
      <c r="C12" s="11">
        <v>8.0</v>
      </c>
      <c r="D12" s="11">
        <v>2.0</v>
      </c>
      <c r="E12" s="11">
        <v>5.0</v>
      </c>
      <c r="F12" s="11">
        <v>4.0</v>
      </c>
      <c r="G12" s="11">
        <v>4.0</v>
      </c>
      <c r="H12" s="11">
        <v>5.0</v>
      </c>
      <c r="I12" s="12"/>
    </row>
    <row r="13">
      <c r="A13" s="9" t="s">
        <v>13</v>
      </c>
      <c r="B13" s="10"/>
      <c r="C13" s="11">
        <v>12.0</v>
      </c>
      <c r="D13" s="11">
        <v>10.0</v>
      </c>
      <c r="E13" s="11">
        <v>9.0</v>
      </c>
      <c r="F13" s="11">
        <v>11.0</v>
      </c>
      <c r="G13" s="11">
        <v>5.0</v>
      </c>
      <c r="H13" s="11">
        <v>8.0</v>
      </c>
      <c r="I13" s="12"/>
    </row>
    <row r="14">
      <c r="A14" s="10"/>
      <c r="B14" s="10"/>
      <c r="C14" s="11">
        <v>13.0</v>
      </c>
      <c r="D14" s="11">
        <v>10.0</v>
      </c>
      <c r="E14" s="11">
        <v>6.0</v>
      </c>
      <c r="F14" s="11">
        <v>10.0</v>
      </c>
      <c r="G14" s="11">
        <v>5.0</v>
      </c>
      <c r="H14" s="11">
        <v>3.0</v>
      </c>
      <c r="I14" s="12"/>
    </row>
    <row r="15">
      <c r="A15" s="10"/>
      <c r="B15" s="10"/>
      <c r="C15" s="11">
        <v>12.0</v>
      </c>
      <c r="D15" s="11">
        <v>5.0</v>
      </c>
      <c r="E15" s="11">
        <v>4.0</v>
      </c>
      <c r="F15" s="11">
        <v>4.0</v>
      </c>
      <c r="G15" s="11">
        <v>3.0</v>
      </c>
      <c r="H15" s="11">
        <v>6.0</v>
      </c>
      <c r="I15" s="12"/>
    </row>
    <row r="16">
      <c r="A16" s="9" t="s">
        <v>14</v>
      </c>
      <c r="B16" s="10"/>
      <c r="C16" s="11">
        <v>5.0</v>
      </c>
      <c r="D16" s="11">
        <v>2.0</v>
      </c>
      <c r="E16" s="11">
        <v>5.0</v>
      </c>
      <c r="F16" s="11">
        <v>5.0</v>
      </c>
      <c r="G16" s="11">
        <v>2.0</v>
      </c>
      <c r="H16" s="11">
        <v>2.0</v>
      </c>
      <c r="I16" s="12"/>
    </row>
    <row r="17">
      <c r="A17" s="10"/>
      <c r="B17" s="10"/>
      <c r="C17" s="11">
        <v>3.0</v>
      </c>
      <c r="D17" s="11">
        <v>3.0</v>
      </c>
      <c r="E17" s="11">
        <v>6.0</v>
      </c>
      <c r="F17" s="11">
        <v>4.0</v>
      </c>
      <c r="G17" s="11">
        <v>2.0</v>
      </c>
      <c r="H17" s="11">
        <v>4.0</v>
      </c>
      <c r="I17" s="12"/>
    </row>
    <row r="18">
      <c r="A18" s="10"/>
      <c r="B18" s="10"/>
      <c r="C18" s="11">
        <v>2.0</v>
      </c>
      <c r="D18" s="11">
        <v>4.0</v>
      </c>
      <c r="E18" s="11">
        <v>2.0</v>
      </c>
      <c r="F18" s="11">
        <v>1.0</v>
      </c>
      <c r="G18" s="11">
        <v>3.0</v>
      </c>
      <c r="H18" s="11">
        <v>1.0</v>
      </c>
      <c r="I18" s="12"/>
    </row>
    <row r="20">
      <c r="A20" s="13" t="s">
        <v>15</v>
      </c>
    </row>
    <row r="22">
      <c r="A22" s="14" t="s">
        <v>16</v>
      </c>
      <c r="B22" s="14" t="s">
        <v>17</v>
      </c>
      <c r="C22" s="15">
        <v>6.0</v>
      </c>
      <c r="E22" s="14" t="s">
        <v>18</v>
      </c>
      <c r="F22" s="15">
        <v>4.0</v>
      </c>
      <c r="H22" s="14" t="s">
        <v>19</v>
      </c>
      <c r="I22" s="15">
        <v>3.0</v>
      </c>
      <c r="K22" s="14" t="s">
        <v>20</v>
      </c>
      <c r="L22" s="15">
        <v>72.0</v>
      </c>
    </row>
    <row r="24">
      <c r="A24" s="5" t="s">
        <v>21</v>
      </c>
      <c r="B24" s="6"/>
      <c r="C24" s="6"/>
      <c r="D24" s="6"/>
      <c r="E24" s="6"/>
      <c r="F24" s="6"/>
    </row>
    <row r="25">
      <c r="A25" s="16" t="s">
        <v>22</v>
      </c>
      <c r="B25" s="14" t="s">
        <v>23</v>
      </c>
      <c r="C25" s="14" t="s">
        <v>24</v>
      </c>
      <c r="E25" s="14" t="s">
        <v>25</v>
      </c>
      <c r="F25" s="14" t="s">
        <v>26</v>
      </c>
    </row>
    <row r="26">
      <c r="A26" s="16" t="s">
        <v>27</v>
      </c>
      <c r="B26" s="14" t="s">
        <v>23</v>
      </c>
      <c r="C26" s="14" t="s">
        <v>28</v>
      </c>
      <c r="E26" s="14" t="s">
        <v>25</v>
      </c>
      <c r="F26" s="14" t="s">
        <v>26</v>
      </c>
    </row>
    <row r="27">
      <c r="A27" s="16" t="s">
        <v>29</v>
      </c>
      <c r="B27" s="14" t="s">
        <v>23</v>
      </c>
      <c r="C27" s="14" t="s">
        <v>30</v>
      </c>
      <c r="E27" s="14" t="s">
        <v>25</v>
      </c>
      <c r="F27" s="14" t="s">
        <v>31</v>
      </c>
    </row>
    <row r="29">
      <c r="A29" s="5" t="s">
        <v>32</v>
      </c>
      <c r="B29" s="6"/>
      <c r="C29" s="6"/>
      <c r="D29" s="6"/>
      <c r="E29" s="6"/>
      <c r="F29" s="6"/>
      <c r="G29" s="6"/>
      <c r="H29" s="6"/>
      <c r="I29" s="6"/>
      <c r="J29" s="6"/>
    </row>
    <row r="30">
      <c r="A30" s="10"/>
      <c r="B30" s="10"/>
      <c r="C30" s="9" t="s">
        <v>5</v>
      </c>
      <c r="D30" s="9" t="s">
        <v>6</v>
      </c>
      <c r="E30" s="9" t="s">
        <v>7</v>
      </c>
      <c r="F30" s="9" t="s">
        <v>8</v>
      </c>
      <c r="G30" s="9" t="s">
        <v>9</v>
      </c>
      <c r="H30" s="9" t="s">
        <v>10</v>
      </c>
      <c r="I30" s="9" t="s">
        <v>33</v>
      </c>
      <c r="J30" s="9" t="s">
        <v>34</v>
      </c>
    </row>
    <row r="31">
      <c r="A31" s="9" t="s">
        <v>11</v>
      </c>
      <c r="B31" s="10"/>
      <c r="C31" s="11">
        <v>25.0</v>
      </c>
      <c r="D31" s="11">
        <v>40.0</v>
      </c>
      <c r="E31" s="11">
        <v>38.0</v>
      </c>
      <c r="F31" s="11">
        <v>19.0</v>
      </c>
      <c r="G31" s="11">
        <v>16.0</v>
      </c>
      <c r="H31" s="11">
        <v>14.0</v>
      </c>
      <c r="I31" s="11">
        <v>152.0</v>
      </c>
      <c r="J31" s="11">
        <v>8.4444</v>
      </c>
    </row>
    <row r="32">
      <c r="A32" s="9" t="s">
        <v>12</v>
      </c>
      <c r="B32" s="10"/>
      <c r="C32" s="11">
        <v>19.0</v>
      </c>
      <c r="D32" s="11">
        <v>11.0</v>
      </c>
      <c r="E32" s="11">
        <v>17.0</v>
      </c>
      <c r="F32" s="11">
        <v>14.0</v>
      </c>
      <c r="G32" s="11">
        <v>13.0</v>
      </c>
      <c r="H32" s="11">
        <v>12.0</v>
      </c>
      <c r="I32" s="11">
        <v>86.0</v>
      </c>
      <c r="J32" s="11">
        <v>4.7778</v>
      </c>
    </row>
    <row r="33">
      <c r="A33" s="9" t="s">
        <v>13</v>
      </c>
      <c r="B33" s="10"/>
      <c r="C33" s="11">
        <v>37.0</v>
      </c>
      <c r="D33" s="11">
        <v>25.0</v>
      </c>
      <c r="E33" s="11">
        <v>19.0</v>
      </c>
      <c r="F33" s="11">
        <v>25.0</v>
      </c>
      <c r="G33" s="11">
        <v>13.0</v>
      </c>
      <c r="H33" s="11">
        <v>17.0</v>
      </c>
      <c r="I33" s="11">
        <v>136.0</v>
      </c>
      <c r="J33" s="11">
        <v>7.5556</v>
      </c>
    </row>
    <row r="34">
      <c r="A34" s="9" t="s">
        <v>14</v>
      </c>
      <c r="B34" s="10"/>
      <c r="C34" s="11">
        <v>10.0</v>
      </c>
      <c r="D34" s="11">
        <v>9.0</v>
      </c>
      <c r="E34" s="11">
        <v>13.0</v>
      </c>
      <c r="F34" s="11">
        <v>10.0</v>
      </c>
      <c r="G34" s="11">
        <v>7.0</v>
      </c>
      <c r="H34" s="11">
        <v>7.0</v>
      </c>
      <c r="I34" s="11">
        <v>56.0</v>
      </c>
      <c r="J34" s="11">
        <v>3.1111</v>
      </c>
    </row>
    <row r="35">
      <c r="A35" s="9" t="s">
        <v>35</v>
      </c>
      <c r="B35" s="10"/>
      <c r="C35" s="17">
        <v>91.0</v>
      </c>
      <c r="D35" s="17">
        <v>85.0</v>
      </c>
      <c r="E35" s="17">
        <v>87.0</v>
      </c>
      <c r="F35" s="17">
        <v>68.0</v>
      </c>
      <c r="G35" s="17">
        <v>49.0</v>
      </c>
      <c r="H35" s="17">
        <v>50.0</v>
      </c>
      <c r="I35" s="17">
        <v>430.0</v>
      </c>
      <c r="J35" s="10"/>
    </row>
    <row r="36">
      <c r="A36" s="9" t="s">
        <v>34</v>
      </c>
      <c r="B36" s="10"/>
      <c r="C36" s="17">
        <v>7.5833</v>
      </c>
      <c r="D36" s="17">
        <v>7.0833</v>
      </c>
      <c r="E36" s="17">
        <v>7.25</v>
      </c>
      <c r="F36" s="17">
        <v>5.6667</v>
      </c>
      <c r="G36" s="17">
        <v>4.0833</v>
      </c>
      <c r="H36" s="17">
        <v>4.1667</v>
      </c>
      <c r="I36" s="10"/>
      <c r="J36" s="10"/>
    </row>
    <row r="38">
      <c r="A38" s="5" t="s">
        <v>36</v>
      </c>
      <c r="B38" s="14" t="s">
        <v>37</v>
      </c>
      <c r="C38" s="14" t="s">
        <v>38</v>
      </c>
      <c r="D38" s="14" t="s">
        <v>39</v>
      </c>
      <c r="E38" s="18">
        <v>2568.0556</v>
      </c>
    </row>
    <row r="40">
      <c r="A40" s="5" t="s">
        <v>40</v>
      </c>
      <c r="B40" s="14" t="s">
        <v>41</v>
      </c>
      <c r="C40" s="14" t="s">
        <v>42</v>
      </c>
      <c r="D40" s="14" t="s">
        <v>43</v>
      </c>
      <c r="E40" s="18">
        <v>833.9444</v>
      </c>
    </row>
    <row r="42">
      <c r="A42" s="5" t="s">
        <v>44</v>
      </c>
      <c r="B42" s="14" t="s">
        <v>45</v>
      </c>
      <c r="C42" s="14" t="s">
        <v>46</v>
      </c>
      <c r="D42" s="14" t="s">
        <v>47</v>
      </c>
      <c r="E42" s="18">
        <v>328.1667</v>
      </c>
    </row>
    <row r="44">
      <c r="A44" s="5" t="s">
        <v>48</v>
      </c>
      <c r="B44" s="14" t="s">
        <v>49</v>
      </c>
      <c r="C44" s="14" t="s">
        <v>50</v>
      </c>
      <c r="D44" s="14" t="s">
        <v>51</v>
      </c>
      <c r="E44" s="18">
        <v>148.6111</v>
      </c>
    </row>
    <row r="46">
      <c r="A46" s="5" t="s">
        <v>52</v>
      </c>
      <c r="B46" s="14" t="s">
        <v>53</v>
      </c>
      <c r="C46" s="14" t="s">
        <v>54</v>
      </c>
      <c r="D46" s="14" t="s">
        <v>55</v>
      </c>
      <c r="E46" s="18">
        <v>204.5</v>
      </c>
    </row>
    <row r="48">
      <c r="A48" s="5" t="s">
        <v>56</v>
      </c>
      <c r="B48" s="14" t="s">
        <v>57</v>
      </c>
      <c r="C48" s="14" t="s">
        <v>58</v>
      </c>
      <c r="D48" s="14" t="s">
        <v>59</v>
      </c>
      <c r="E48" s="18">
        <v>152.6667</v>
      </c>
    </row>
    <row r="50">
      <c r="A50" s="13" t="s">
        <v>60</v>
      </c>
      <c r="B50" s="13" t="s">
        <v>61</v>
      </c>
      <c r="C50" s="19"/>
      <c r="D50" s="19"/>
      <c r="E50" s="19"/>
      <c r="F50" s="19"/>
      <c r="G50" s="19"/>
    </row>
    <row r="51">
      <c r="A51" s="7"/>
      <c r="B51" s="8" t="s">
        <v>62</v>
      </c>
      <c r="C51" s="8" t="s">
        <v>63</v>
      </c>
      <c r="D51" s="8" t="s">
        <v>64</v>
      </c>
      <c r="E51" s="8" t="s">
        <v>65</v>
      </c>
      <c r="F51" s="8" t="s">
        <v>66</v>
      </c>
      <c r="G51" s="8" t="s">
        <v>67</v>
      </c>
    </row>
    <row r="52">
      <c r="A52" s="12"/>
      <c r="B52" s="20" t="s">
        <v>68</v>
      </c>
      <c r="C52" s="21">
        <v>148.6111</v>
      </c>
      <c r="D52" s="21">
        <v>5.0</v>
      </c>
      <c r="E52" s="21">
        <v>29.7222</v>
      </c>
      <c r="F52" s="21">
        <v>9.345</v>
      </c>
      <c r="G52" s="22">
        <f>_xlfn.F.INV.RT(0.05,5,48)</f>
        <v>2.408514119</v>
      </c>
    </row>
    <row r="53">
      <c r="A53" s="12"/>
      <c r="B53" s="20" t="s">
        <v>69</v>
      </c>
      <c r="C53" s="21">
        <v>328.1667</v>
      </c>
      <c r="D53" s="21">
        <v>3.0</v>
      </c>
      <c r="E53" s="21">
        <v>109.3889</v>
      </c>
      <c r="F53" s="21">
        <v>34.3934</v>
      </c>
      <c r="G53" s="22">
        <f>_xlfn.F.INV.RT(0.05,3,48)</f>
        <v>2.798060635</v>
      </c>
    </row>
    <row r="54">
      <c r="A54" s="12"/>
      <c r="B54" s="20" t="s">
        <v>70</v>
      </c>
      <c r="C54" s="21">
        <v>204.5</v>
      </c>
      <c r="D54" s="21">
        <v>15.0</v>
      </c>
      <c r="E54" s="21">
        <v>13.6333</v>
      </c>
      <c r="F54" s="21">
        <v>4.2863</v>
      </c>
      <c r="G54" s="22">
        <f>_xlfn.F.INV.RT(0.05,15,48)</f>
        <v>1.880174584</v>
      </c>
    </row>
    <row r="55">
      <c r="A55" s="12"/>
      <c r="B55" s="23" t="s">
        <v>71</v>
      </c>
      <c r="C55" s="24">
        <v>152.6667</v>
      </c>
      <c r="D55" s="24">
        <v>48.0</v>
      </c>
      <c r="E55" s="24">
        <v>3.1806</v>
      </c>
      <c r="F55" s="25"/>
      <c r="G55" s="25"/>
    </row>
    <row r="56">
      <c r="A56" s="12"/>
      <c r="B56" s="26" t="s">
        <v>72</v>
      </c>
      <c r="C56" s="27">
        <v>833.9444</v>
      </c>
      <c r="D56" s="27">
        <v>71.0</v>
      </c>
      <c r="E56" s="28"/>
      <c r="F56" s="28"/>
      <c r="G56" s="28"/>
    </row>
    <row r="58">
      <c r="A58" s="29"/>
      <c r="B58" s="30" t="s">
        <v>73</v>
      </c>
      <c r="C58" s="30" t="s">
        <v>74</v>
      </c>
      <c r="D58" s="29"/>
      <c r="E58" s="29"/>
      <c r="F58" s="29"/>
      <c r="G58" s="29"/>
      <c r="H58" s="29"/>
      <c r="I58" s="29"/>
    </row>
    <row r="59">
      <c r="A59" s="29"/>
      <c r="B59" s="30" t="s">
        <v>73</v>
      </c>
      <c r="C59" s="30" t="s">
        <v>75</v>
      </c>
      <c r="D59" s="29"/>
      <c r="E59" s="29"/>
      <c r="F59" s="29"/>
      <c r="G59" s="29"/>
      <c r="H59" s="29"/>
      <c r="I59" s="29"/>
    </row>
    <row r="60">
      <c r="A60" s="29"/>
      <c r="B60" s="30" t="s">
        <v>73</v>
      </c>
      <c r="C60" s="30" t="s">
        <v>76</v>
      </c>
      <c r="D60" s="29"/>
      <c r="E60" s="29"/>
      <c r="F60" s="29"/>
      <c r="G60" s="29"/>
      <c r="H60" s="29"/>
      <c r="I60" s="29"/>
    </row>
    <row r="62">
      <c r="A62" s="31" t="s">
        <v>77</v>
      </c>
      <c r="B62" s="31" t="s">
        <v>78</v>
      </c>
      <c r="C62" s="32"/>
      <c r="D62" s="32"/>
      <c r="E62" s="32"/>
      <c r="F62" s="32"/>
      <c r="G62" s="32"/>
      <c r="H62" s="32"/>
      <c r="I62" s="32"/>
    </row>
    <row r="63">
      <c r="B63" s="16" t="s">
        <v>79</v>
      </c>
      <c r="C63" s="33">
        <v>3.1806</v>
      </c>
      <c r="D63" s="34"/>
      <c r="E63" s="16" t="s">
        <v>80</v>
      </c>
      <c r="F63" s="33">
        <v>12.0</v>
      </c>
      <c r="G63" s="34"/>
      <c r="H63" s="16" t="s">
        <v>81</v>
      </c>
      <c r="I63" s="33">
        <v>48.0</v>
      </c>
    </row>
    <row r="64">
      <c r="B64" s="16" t="s">
        <v>82</v>
      </c>
      <c r="C64" s="33">
        <v>4.21</v>
      </c>
      <c r="D64" s="34"/>
      <c r="E64" s="16" t="s">
        <v>83</v>
      </c>
      <c r="F64" s="33">
        <v>2.167</v>
      </c>
      <c r="G64" s="34"/>
      <c r="H64" s="34"/>
      <c r="I64" s="34"/>
    </row>
    <row r="66">
      <c r="B66" s="35" t="s">
        <v>84</v>
      </c>
      <c r="C66" s="35" t="s">
        <v>9</v>
      </c>
      <c r="D66" s="35" t="s">
        <v>10</v>
      </c>
      <c r="E66" s="35" t="s">
        <v>8</v>
      </c>
      <c r="F66" s="35" t="s">
        <v>6</v>
      </c>
      <c r="G66" s="35" t="s">
        <v>7</v>
      </c>
      <c r="H66" s="35" t="s">
        <v>5</v>
      </c>
    </row>
    <row r="67">
      <c r="C67" s="36">
        <v>4.0833</v>
      </c>
      <c r="D67" s="36">
        <v>4.1667</v>
      </c>
      <c r="E67" s="36">
        <v>5.6667</v>
      </c>
      <c r="F67" s="36">
        <v>7.0833</v>
      </c>
      <c r="G67" s="36">
        <v>7.25</v>
      </c>
      <c r="H67" s="36">
        <v>7.5833</v>
      </c>
    </row>
    <row r="69">
      <c r="B69" s="8" t="s">
        <v>85</v>
      </c>
      <c r="C69" s="8" t="s">
        <v>86</v>
      </c>
      <c r="D69" s="8" t="s">
        <v>87</v>
      </c>
      <c r="E69" s="8" t="s">
        <v>88</v>
      </c>
    </row>
    <row r="70">
      <c r="B70" s="37" t="s">
        <v>89</v>
      </c>
      <c r="C70" s="38">
        <v>3.5</v>
      </c>
      <c r="D70" s="38">
        <v>2.167</v>
      </c>
      <c r="E70" s="37" t="s">
        <v>90</v>
      </c>
    </row>
    <row r="71">
      <c r="B71" s="37" t="s">
        <v>91</v>
      </c>
      <c r="C71" s="38">
        <v>3.4167</v>
      </c>
      <c r="D71" s="38">
        <v>2.167</v>
      </c>
      <c r="E71" s="37" t="s">
        <v>90</v>
      </c>
    </row>
    <row r="72">
      <c r="B72" s="39" t="s">
        <v>92</v>
      </c>
      <c r="C72" s="11">
        <v>1.9167</v>
      </c>
      <c r="D72" s="11">
        <v>2.167</v>
      </c>
      <c r="E72" s="39" t="s">
        <v>93</v>
      </c>
    </row>
    <row r="73">
      <c r="B73" s="39" t="s">
        <v>94</v>
      </c>
      <c r="C73" s="11">
        <v>0.5</v>
      </c>
      <c r="D73" s="11">
        <v>2.167</v>
      </c>
      <c r="E73" s="39" t="s">
        <v>93</v>
      </c>
    </row>
    <row r="74">
      <c r="B74" s="39" t="s">
        <v>95</v>
      </c>
      <c r="C74" s="11">
        <v>0.3333</v>
      </c>
      <c r="D74" s="11">
        <v>2.167</v>
      </c>
      <c r="E74" s="39" t="s">
        <v>93</v>
      </c>
    </row>
    <row r="75">
      <c r="B75" s="37" t="s">
        <v>96</v>
      </c>
      <c r="C75" s="38">
        <v>3.1667</v>
      </c>
      <c r="D75" s="38">
        <v>2.167</v>
      </c>
      <c r="E75" s="37" t="s">
        <v>90</v>
      </c>
    </row>
    <row r="76">
      <c r="B76" s="37" t="s">
        <v>97</v>
      </c>
      <c r="C76" s="38">
        <v>3.0833</v>
      </c>
      <c r="D76" s="38">
        <v>2.167</v>
      </c>
      <c r="E76" s="37" t="s">
        <v>90</v>
      </c>
    </row>
    <row r="77">
      <c r="B77" s="37" t="s">
        <v>98</v>
      </c>
      <c r="C77" s="38">
        <v>3.0</v>
      </c>
      <c r="D77" s="38">
        <v>2.167</v>
      </c>
      <c r="E77" s="37" t="s">
        <v>90</v>
      </c>
    </row>
    <row r="78">
      <c r="B78" s="37" t="s">
        <v>99</v>
      </c>
      <c r="C78" s="38">
        <v>2.9167</v>
      </c>
      <c r="D78" s="38">
        <v>2.167</v>
      </c>
      <c r="E78" s="37" t="s">
        <v>90</v>
      </c>
    </row>
    <row r="79">
      <c r="B79" s="39" t="s">
        <v>100</v>
      </c>
      <c r="C79" s="39" t="s">
        <v>101</v>
      </c>
      <c r="D79" s="40">
        <v>2167.0</v>
      </c>
      <c r="E79" s="39" t="s">
        <v>93</v>
      </c>
    </row>
    <row r="81">
      <c r="B81" s="30" t="s">
        <v>102</v>
      </c>
      <c r="C81" s="30" t="s">
        <v>103</v>
      </c>
      <c r="D81" s="29"/>
      <c r="E81" s="29"/>
      <c r="F81" s="29"/>
      <c r="G81" s="29"/>
      <c r="H81" s="29"/>
      <c r="I81" s="29"/>
    </row>
    <row r="82">
      <c r="B82" s="29"/>
      <c r="C82" s="30" t="s">
        <v>104</v>
      </c>
      <c r="D82" s="29"/>
      <c r="E82" s="29"/>
      <c r="F82" s="29"/>
      <c r="G82" s="29"/>
      <c r="H82" s="29"/>
      <c r="I82" s="29"/>
    </row>
    <row r="84">
      <c r="A84" s="31" t="s">
        <v>105</v>
      </c>
      <c r="B84" s="31" t="s">
        <v>106</v>
      </c>
      <c r="C84" s="32"/>
      <c r="D84" s="32"/>
      <c r="E84" s="32"/>
      <c r="F84" s="32"/>
      <c r="G84" s="32"/>
      <c r="H84" s="32"/>
      <c r="I84" s="32"/>
    </row>
    <row r="85">
      <c r="B85" s="16" t="s">
        <v>79</v>
      </c>
      <c r="C85" s="33">
        <v>3.1806</v>
      </c>
      <c r="D85" s="34"/>
      <c r="E85" s="16" t="s">
        <v>107</v>
      </c>
      <c r="F85" s="33">
        <v>18.0</v>
      </c>
      <c r="G85" s="34"/>
      <c r="H85" s="16" t="s">
        <v>81</v>
      </c>
      <c r="I85" s="33">
        <v>48.0</v>
      </c>
    </row>
    <row r="86">
      <c r="B86" s="16" t="s">
        <v>108</v>
      </c>
      <c r="C86" s="33">
        <v>3.79</v>
      </c>
      <c r="D86" s="34"/>
      <c r="E86" s="16" t="s">
        <v>83</v>
      </c>
      <c r="F86" s="33">
        <v>1.593</v>
      </c>
      <c r="G86" s="34"/>
      <c r="H86" s="34"/>
      <c r="I86" s="34"/>
    </row>
    <row r="88">
      <c r="B88" s="35" t="s">
        <v>109</v>
      </c>
      <c r="C88" s="35" t="s">
        <v>14</v>
      </c>
      <c r="D88" s="35" t="s">
        <v>12</v>
      </c>
      <c r="E88" s="35" t="s">
        <v>13</v>
      </c>
      <c r="F88" s="35" t="s">
        <v>11</v>
      </c>
      <c r="G88" s="41"/>
    </row>
    <row r="89">
      <c r="C89" s="36">
        <v>3.1111</v>
      </c>
      <c r="D89" s="36">
        <v>4.7778</v>
      </c>
      <c r="E89" s="36">
        <v>7.5556</v>
      </c>
      <c r="F89" s="36">
        <v>8.4444</v>
      </c>
      <c r="G89" s="42"/>
    </row>
    <row r="91">
      <c r="B91" s="8" t="s">
        <v>85</v>
      </c>
      <c r="C91" s="8" t="s">
        <v>86</v>
      </c>
      <c r="D91" s="8" t="s">
        <v>87</v>
      </c>
      <c r="E91" s="8" t="s">
        <v>88</v>
      </c>
    </row>
    <row r="92">
      <c r="B92" s="37" t="s">
        <v>110</v>
      </c>
      <c r="C92" s="38">
        <v>5.3333</v>
      </c>
      <c r="D92" s="38">
        <v>1.593</v>
      </c>
      <c r="E92" s="37" t="s">
        <v>90</v>
      </c>
    </row>
    <row r="93">
      <c r="B93" s="37" t="s">
        <v>111</v>
      </c>
      <c r="C93" s="38">
        <v>3.6667</v>
      </c>
      <c r="D93" s="38">
        <v>1.593</v>
      </c>
      <c r="E93" s="37" t="s">
        <v>90</v>
      </c>
    </row>
    <row r="94">
      <c r="B94" s="39" t="s">
        <v>112</v>
      </c>
      <c r="C94" s="11">
        <v>0.8889</v>
      </c>
      <c r="D94" s="11">
        <v>1.593</v>
      </c>
      <c r="E94" s="39" t="s">
        <v>93</v>
      </c>
    </row>
    <row r="95">
      <c r="B95" s="37" t="s">
        <v>113</v>
      </c>
      <c r="C95" s="38">
        <v>4.4444</v>
      </c>
      <c r="D95" s="38">
        <v>1.593</v>
      </c>
      <c r="E95" s="37" t="s">
        <v>90</v>
      </c>
    </row>
    <row r="96">
      <c r="B96" s="37" t="s">
        <v>114</v>
      </c>
      <c r="C96" s="38">
        <v>2.7778</v>
      </c>
      <c r="D96" s="38">
        <v>1.593</v>
      </c>
      <c r="E96" s="37" t="s">
        <v>90</v>
      </c>
    </row>
    <row r="97">
      <c r="B97" s="37" t="s">
        <v>115</v>
      </c>
      <c r="C97" s="38">
        <v>1.6667</v>
      </c>
      <c r="D97" s="38">
        <v>1.593</v>
      </c>
      <c r="E97" s="37" t="s">
        <v>90</v>
      </c>
    </row>
    <row r="99">
      <c r="B99" s="30" t="s">
        <v>116</v>
      </c>
      <c r="C99" s="30" t="s">
        <v>117</v>
      </c>
      <c r="D99" s="29"/>
      <c r="E99" s="29"/>
      <c r="F99" s="29"/>
      <c r="G99" s="29"/>
      <c r="H99" s="29"/>
      <c r="I99" s="29"/>
    </row>
    <row r="100">
      <c r="B100" s="29"/>
      <c r="C100" s="30" t="s">
        <v>118</v>
      </c>
      <c r="D100" s="29"/>
      <c r="E100" s="29"/>
      <c r="F100" s="29"/>
      <c r="G100" s="29"/>
      <c r="H100" s="29"/>
      <c r="I10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119</v>
      </c>
      <c r="B1" s="2"/>
      <c r="C1" s="2"/>
      <c r="D1" s="2"/>
      <c r="E1" s="2"/>
      <c r="F1" s="2"/>
      <c r="G1" s="2"/>
      <c r="H1" s="2"/>
    </row>
    <row r="2">
      <c r="A2" s="3" t="s">
        <v>120</v>
      </c>
      <c r="B2" s="4"/>
      <c r="C2" s="4"/>
      <c r="D2" s="4"/>
      <c r="E2" s="4"/>
      <c r="F2" s="4"/>
      <c r="G2" s="4"/>
      <c r="H2" s="4"/>
    </row>
    <row r="4">
      <c r="A4" s="5" t="s">
        <v>121</v>
      </c>
      <c r="B4" s="6"/>
      <c r="C4" s="6"/>
      <c r="D4" s="6"/>
      <c r="E4" s="6"/>
      <c r="F4" s="6"/>
      <c r="G4" s="6"/>
    </row>
    <row r="5">
      <c r="A5" s="5"/>
      <c r="B5" s="43"/>
      <c r="C5" s="5" t="s">
        <v>122</v>
      </c>
      <c r="D5" s="43"/>
      <c r="E5" s="5"/>
      <c r="F5" s="43"/>
      <c r="G5" s="5"/>
    </row>
    <row r="6">
      <c r="A6" s="8" t="s">
        <v>123</v>
      </c>
      <c r="B6" s="7"/>
      <c r="C6" s="8">
        <v>1.0</v>
      </c>
      <c r="D6" s="8">
        <v>2.0</v>
      </c>
      <c r="E6" s="8">
        <v>3.0</v>
      </c>
      <c r="F6" s="8">
        <v>4.0</v>
      </c>
      <c r="G6" s="7"/>
    </row>
    <row r="7">
      <c r="A7" s="9">
        <v>1.0</v>
      </c>
      <c r="B7" s="10"/>
      <c r="C7" s="39" t="s">
        <v>124</v>
      </c>
      <c r="D7" s="39" t="s">
        <v>125</v>
      </c>
      <c r="E7" s="44" t="s">
        <v>126</v>
      </c>
      <c r="F7" s="39" t="s">
        <v>127</v>
      </c>
      <c r="G7" s="12"/>
    </row>
    <row r="8">
      <c r="A8" s="9">
        <v>2.0</v>
      </c>
      <c r="B8" s="9"/>
      <c r="C8" s="39" t="s">
        <v>128</v>
      </c>
      <c r="D8" s="39" t="s">
        <v>129</v>
      </c>
      <c r="E8" s="44" t="s">
        <v>130</v>
      </c>
      <c r="F8" s="39" t="s">
        <v>131</v>
      </c>
      <c r="G8" s="39"/>
      <c r="H8" s="14"/>
    </row>
    <row r="9">
      <c r="A9" s="9">
        <v>3.0</v>
      </c>
      <c r="B9" s="10"/>
      <c r="C9" s="44" t="s">
        <v>132</v>
      </c>
      <c r="D9" s="44" t="s">
        <v>133</v>
      </c>
      <c r="E9" s="44" t="s">
        <v>134</v>
      </c>
      <c r="F9" s="44" t="s">
        <v>135</v>
      </c>
      <c r="G9" s="11"/>
      <c r="H9" s="15"/>
    </row>
    <row r="10">
      <c r="A10" s="9">
        <v>4.0</v>
      </c>
      <c r="B10" s="10"/>
      <c r="C10" s="39" t="s">
        <v>136</v>
      </c>
      <c r="D10" s="39" t="s">
        <v>137</v>
      </c>
      <c r="E10" s="44" t="s">
        <v>138</v>
      </c>
      <c r="F10" s="39" t="s">
        <v>139</v>
      </c>
      <c r="G10" s="11"/>
      <c r="H10" s="15"/>
    </row>
    <row r="11">
      <c r="C11" s="15"/>
      <c r="D11" s="15"/>
      <c r="E11" s="15"/>
      <c r="F11" s="15"/>
      <c r="G11" s="15"/>
      <c r="H11" s="15"/>
    </row>
    <row r="12">
      <c r="A12" s="13" t="s">
        <v>15</v>
      </c>
      <c r="C12" s="15"/>
      <c r="D12" s="15"/>
      <c r="E12" s="15"/>
      <c r="F12" s="15"/>
      <c r="G12" s="15"/>
      <c r="H12" s="15"/>
    </row>
    <row r="13">
      <c r="C13" s="15"/>
      <c r="D13" s="15"/>
      <c r="E13" s="15"/>
      <c r="F13" s="15"/>
      <c r="G13" s="15"/>
      <c r="H13" s="15"/>
    </row>
    <row r="14">
      <c r="A14" s="14" t="s">
        <v>16</v>
      </c>
      <c r="B14" s="14" t="s">
        <v>140</v>
      </c>
      <c r="C14" s="14">
        <v>4.0</v>
      </c>
      <c r="D14" s="15"/>
      <c r="E14" s="14" t="s">
        <v>141</v>
      </c>
      <c r="F14" s="14">
        <v>16.0</v>
      </c>
      <c r="G14" s="15"/>
      <c r="H14" s="15"/>
    </row>
    <row r="15">
      <c r="A15" s="14"/>
      <c r="C15" s="15"/>
      <c r="D15" s="15"/>
      <c r="E15" s="15"/>
      <c r="F15" s="15"/>
      <c r="G15" s="15"/>
      <c r="H15" s="15"/>
    </row>
    <row r="16">
      <c r="A16" s="5" t="s">
        <v>21</v>
      </c>
      <c r="B16" s="6"/>
      <c r="C16" s="43"/>
      <c r="D16" s="43"/>
      <c r="E16" s="43"/>
      <c r="F16" s="43"/>
      <c r="G16" s="43"/>
      <c r="H16" s="15"/>
    </row>
    <row r="17">
      <c r="A17" s="16" t="s">
        <v>142</v>
      </c>
      <c r="B17" s="14" t="s">
        <v>23</v>
      </c>
      <c r="C17" s="14" t="s">
        <v>28</v>
      </c>
      <c r="D17" s="15"/>
      <c r="E17" s="14" t="s">
        <v>25</v>
      </c>
      <c r="F17" s="14" t="s">
        <v>26</v>
      </c>
      <c r="G17" s="15"/>
      <c r="H17" s="15"/>
    </row>
    <row r="18">
      <c r="A18" s="16" t="s">
        <v>143</v>
      </c>
      <c r="B18" s="14" t="s">
        <v>23</v>
      </c>
      <c r="C18" s="14" t="s">
        <v>28</v>
      </c>
      <c r="D18" s="15"/>
      <c r="E18" s="14" t="s">
        <v>25</v>
      </c>
      <c r="F18" s="14" t="s">
        <v>26</v>
      </c>
      <c r="G18" s="15"/>
      <c r="H18" s="15"/>
    </row>
    <row r="19">
      <c r="A19" s="16" t="s">
        <v>144</v>
      </c>
      <c r="B19" s="14" t="s">
        <v>23</v>
      </c>
      <c r="C19" s="14" t="s">
        <v>145</v>
      </c>
      <c r="D19" s="15"/>
      <c r="E19" s="14" t="s">
        <v>25</v>
      </c>
      <c r="F19" s="14" t="s">
        <v>26</v>
      </c>
      <c r="G19" s="15"/>
      <c r="H19" s="15"/>
    </row>
    <row r="20">
      <c r="C20" s="15"/>
      <c r="D20" s="15"/>
      <c r="E20" s="15"/>
      <c r="F20" s="15"/>
      <c r="G20" s="15"/>
      <c r="H20" s="15"/>
    </row>
    <row r="21">
      <c r="A21" s="31" t="s">
        <v>146</v>
      </c>
      <c r="B21" s="32"/>
      <c r="C21" s="32"/>
      <c r="D21" s="32"/>
      <c r="E21" s="32"/>
      <c r="F21" s="32"/>
      <c r="G21" s="32"/>
    </row>
    <row r="22">
      <c r="A22" s="45" t="s">
        <v>147</v>
      </c>
      <c r="B22" s="46"/>
      <c r="C22" s="46"/>
      <c r="D22" s="46"/>
      <c r="E22" s="46"/>
      <c r="F22" s="46"/>
      <c r="G22" s="46"/>
    </row>
    <row r="23">
      <c r="B23" s="14"/>
      <c r="C23" s="14"/>
      <c r="D23" s="14"/>
      <c r="E23" s="14"/>
      <c r="F23" s="14"/>
      <c r="G23" s="14"/>
      <c r="H23" s="14"/>
      <c r="I23" s="14"/>
      <c r="J23" s="14"/>
    </row>
    <row r="24">
      <c r="A24" s="9" t="s">
        <v>148</v>
      </c>
      <c r="B24" s="12"/>
      <c r="C24" s="39" t="s">
        <v>149</v>
      </c>
      <c r="D24" s="47">
        <v>153.0</v>
      </c>
      <c r="E24" s="12"/>
    </row>
    <row r="25">
      <c r="A25" s="9" t="s">
        <v>150</v>
      </c>
      <c r="B25" s="12"/>
      <c r="C25" s="39" t="s">
        <v>151</v>
      </c>
      <c r="D25" s="47">
        <v>24.0</v>
      </c>
      <c r="E25" s="12"/>
    </row>
    <row r="26">
      <c r="A26" s="9" t="s">
        <v>152</v>
      </c>
      <c r="B26" s="12"/>
      <c r="C26" s="39" t="s">
        <v>153</v>
      </c>
      <c r="D26" s="47">
        <v>30.0</v>
      </c>
      <c r="E26" s="12"/>
    </row>
    <row r="27">
      <c r="A27" s="9" t="s">
        <v>154</v>
      </c>
      <c r="B27" s="12"/>
      <c r="C27" s="39" t="s">
        <v>155</v>
      </c>
      <c r="D27" s="47">
        <v>42.0</v>
      </c>
      <c r="E27" s="12"/>
    </row>
    <row r="28">
      <c r="A28" s="39"/>
      <c r="B28" s="12"/>
      <c r="C28" s="12"/>
      <c r="D28" s="12"/>
      <c r="E28" s="12"/>
    </row>
    <row r="29">
      <c r="A29" s="39" t="s">
        <v>156</v>
      </c>
      <c r="B29" s="39" t="s">
        <v>157</v>
      </c>
      <c r="C29" s="39" t="s">
        <v>158</v>
      </c>
      <c r="D29" s="39" t="s">
        <v>159</v>
      </c>
      <c r="E29" s="48">
        <v>13.0</v>
      </c>
    </row>
    <row r="31">
      <c r="A31" s="5" t="s">
        <v>160</v>
      </c>
      <c r="B31" s="5"/>
      <c r="C31" s="5"/>
      <c r="D31" s="6"/>
      <c r="E31" s="6"/>
      <c r="F31" s="6"/>
      <c r="G31" s="6"/>
      <c r="H31" s="6"/>
    </row>
    <row r="32">
      <c r="A32" s="10"/>
      <c r="B32" s="10"/>
      <c r="C32" s="9" t="s">
        <v>161</v>
      </c>
      <c r="D32" s="9" t="s">
        <v>162</v>
      </c>
      <c r="E32" s="9" t="s">
        <v>163</v>
      </c>
      <c r="F32" s="9" t="s">
        <v>164</v>
      </c>
      <c r="G32" s="9" t="s">
        <v>165</v>
      </c>
      <c r="H32" s="9" t="s">
        <v>166</v>
      </c>
    </row>
    <row r="33">
      <c r="A33" s="9">
        <v>1.0</v>
      </c>
      <c r="B33" s="9"/>
      <c r="C33" s="39" t="s">
        <v>124</v>
      </c>
      <c r="D33" s="39" t="s">
        <v>125</v>
      </c>
      <c r="E33" s="39" t="s">
        <v>126</v>
      </c>
      <c r="F33" s="39" t="s">
        <v>127</v>
      </c>
      <c r="G33" s="39">
        <v>39.0</v>
      </c>
      <c r="H33" s="39">
        <v>9.75</v>
      </c>
    </row>
    <row r="34">
      <c r="A34" s="9">
        <v>2.0</v>
      </c>
      <c r="B34" s="10"/>
      <c r="C34" s="39" t="s">
        <v>128</v>
      </c>
      <c r="D34" s="39" t="s">
        <v>129</v>
      </c>
      <c r="E34" s="39" t="s">
        <v>130</v>
      </c>
      <c r="F34" s="39" t="s">
        <v>131</v>
      </c>
      <c r="G34" s="39">
        <v>44.0</v>
      </c>
      <c r="H34" s="39">
        <v>11.0</v>
      </c>
    </row>
    <row r="35">
      <c r="A35" s="9">
        <v>3.0</v>
      </c>
      <c r="B35" s="9"/>
      <c r="C35" s="44" t="s">
        <v>132</v>
      </c>
      <c r="D35" s="44" t="s">
        <v>133</v>
      </c>
      <c r="E35" s="44" t="s">
        <v>167</v>
      </c>
      <c r="F35" s="44" t="s">
        <v>135</v>
      </c>
      <c r="G35" s="44">
        <v>37.0</v>
      </c>
      <c r="H35" s="39">
        <v>9.25</v>
      </c>
    </row>
    <row r="36">
      <c r="A36" s="9">
        <v>4.0</v>
      </c>
      <c r="B36" s="10"/>
      <c r="C36" s="39" t="s">
        <v>136</v>
      </c>
      <c r="D36" s="39" t="s">
        <v>137</v>
      </c>
      <c r="E36" s="39" t="s">
        <v>138</v>
      </c>
      <c r="F36" s="39" t="s">
        <v>139</v>
      </c>
      <c r="G36" s="39">
        <v>46.0</v>
      </c>
      <c r="H36" s="39">
        <v>11.5</v>
      </c>
    </row>
    <row r="37">
      <c r="A37" s="9" t="s">
        <v>168</v>
      </c>
      <c r="B37" s="9"/>
      <c r="C37" s="9">
        <v>32.0</v>
      </c>
      <c r="D37" s="9">
        <v>52.0</v>
      </c>
      <c r="E37" s="9">
        <v>43.0</v>
      </c>
      <c r="F37" s="9">
        <v>39.0</v>
      </c>
      <c r="G37" s="9">
        <v>166.0</v>
      </c>
      <c r="H37" s="9" t="s">
        <v>169</v>
      </c>
    </row>
    <row r="38">
      <c r="A38" s="9" t="s">
        <v>166</v>
      </c>
      <c r="B38" s="10"/>
      <c r="C38" s="9">
        <v>8.0</v>
      </c>
      <c r="D38" s="9">
        <v>13.0</v>
      </c>
      <c r="E38" s="9">
        <v>10.75</v>
      </c>
      <c r="F38" s="9">
        <v>9.75</v>
      </c>
      <c r="G38" s="10"/>
      <c r="H38" s="10"/>
    </row>
    <row r="39">
      <c r="A39" s="14"/>
      <c r="B39" s="14"/>
      <c r="C39" s="14"/>
    </row>
    <row r="40">
      <c r="A40" s="5" t="s">
        <v>170</v>
      </c>
      <c r="B40" s="6"/>
      <c r="C40" s="6"/>
      <c r="D40" s="6"/>
      <c r="E40" s="6"/>
      <c r="F40" s="6"/>
      <c r="G40" s="6"/>
    </row>
    <row r="41">
      <c r="A41" s="9"/>
      <c r="B41" s="9" t="s">
        <v>171</v>
      </c>
      <c r="C41" s="9" t="s">
        <v>172</v>
      </c>
      <c r="D41" s="9" t="s">
        <v>173</v>
      </c>
      <c r="E41" s="9" t="s">
        <v>174</v>
      </c>
      <c r="F41" s="9" t="s">
        <v>175</v>
      </c>
      <c r="G41" s="9" t="s">
        <v>169</v>
      </c>
    </row>
    <row r="42">
      <c r="A42" s="12"/>
      <c r="B42" s="39" t="s">
        <v>176</v>
      </c>
      <c r="C42" s="39">
        <v>30.0</v>
      </c>
      <c r="D42" s="39">
        <v>37.0</v>
      </c>
      <c r="E42" s="39">
        <v>55.0</v>
      </c>
      <c r="F42" s="39">
        <v>44.0</v>
      </c>
      <c r="G42" s="39">
        <v>166.0</v>
      </c>
    </row>
    <row r="43">
      <c r="A43" s="39"/>
      <c r="B43" s="39" t="s">
        <v>177</v>
      </c>
      <c r="C43" s="39">
        <v>7.5</v>
      </c>
      <c r="D43" s="39">
        <v>9.25</v>
      </c>
      <c r="E43" s="39">
        <v>13.75</v>
      </c>
      <c r="F43" s="39">
        <v>11.0</v>
      </c>
      <c r="G43" s="12"/>
    </row>
    <row r="44">
      <c r="B44" s="14"/>
      <c r="C44" s="14"/>
      <c r="D44" s="14"/>
      <c r="E44" s="14"/>
      <c r="F44" s="14"/>
      <c r="G44" s="14"/>
    </row>
    <row r="45">
      <c r="A45" s="5" t="s">
        <v>36</v>
      </c>
      <c r="B45" s="14" t="s">
        <v>37</v>
      </c>
      <c r="C45" s="14" t="s">
        <v>38</v>
      </c>
      <c r="D45" s="14" t="s">
        <v>178</v>
      </c>
      <c r="E45" s="49">
        <v>1722.25</v>
      </c>
    </row>
    <row r="46">
      <c r="B46" s="14"/>
    </row>
    <row r="47">
      <c r="A47" s="5" t="s">
        <v>40</v>
      </c>
      <c r="B47" s="14" t="s">
        <v>41</v>
      </c>
      <c r="C47" s="14" t="s">
        <v>179</v>
      </c>
      <c r="D47" s="14" t="s">
        <v>180</v>
      </c>
      <c r="E47" s="49">
        <v>159.75</v>
      </c>
    </row>
    <row r="48">
      <c r="B48" s="14"/>
    </row>
    <row r="49">
      <c r="A49" s="5" t="s">
        <v>44</v>
      </c>
      <c r="B49" s="14" t="s">
        <v>181</v>
      </c>
      <c r="C49" s="14" t="s">
        <v>182</v>
      </c>
      <c r="D49" s="14" t="s">
        <v>183</v>
      </c>
      <c r="E49" s="49">
        <v>13.25</v>
      </c>
    </row>
    <row r="51">
      <c r="A51" s="5" t="s">
        <v>48</v>
      </c>
      <c r="B51" s="14" t="s">
        <v>184</v>
      </c>
      <c r="C51" s="14" t="s">
        <v>185</v>
      </c>
      <c r="D51" s="14" t="s">
        <v>186</v>
      </c>
      <c r="E51" s="49">
        <v>52.25</v>
      </c>
    </row>
    <row r="52">
      <c r="C52" s="14"/>
    </row>
    <row r="53">
      <c r="A53" s="5" t="s">
        <v>52</v>
      </c>
      <c r="B53" s="14" t="s">
        <v>187</v>
      </c>
      <c r="C53" s="14" t="s">
        <v>188</v>
      </c>
      <c r="D53" s="14" t="s">
        <v>189</v>
      </c>
      <c r="E53" s="49">
        <v>85.25</v>
      </c>
    </row>
    <row r="55">
      <c r="A55" s="5" t="s">
        <v>56</v>
      </c>
      <c r="B55" s="14" t="s">
        <v>57</v>
      </c>
      <c r="C55" s="14" t="s">
        <v>190</v>
      </c>
      <c r="D55" s="14" t="s">
        <v>191</v>
      </c>
      <c r="E55" s="49">
        <v>9.0</v>
      </c>
    </row>
    <row r="56">
      <c r="B56" s="14"/>
      <c r="E56" s="14"/>
      <c r="H56" s="14"/>
    </row>
    <row r="57">
      <c r="A57" s="13" t="s">
        <v>60</v>
      </c>
      <c r="B57" s="13" t="s">
        <v>192</v>
      </c>
      <c r="C57" s="13"/>
      <c r="D57" s="19"/>
      <c r="E57" s="13"/>
      <c r="F57" s="19"/>
      <c r="G57" s="19"/>
      <c r="H57" s="19"/>
    </row>
    <row r="58">
      <c r="A58" s="7"/>
      <c r="B58" s="8" t="s">
        <v>62</v>
      </c>
      <c r="C58" s="8" t="s">
        <v>63</v>
      </c>
      <c r="D58" s="8" t="s">
        <v>64</v>
      </c>
      <c r="E58" s="8" t="s">
        <v>65</v>
      </c>
      <c r="F58" s="8" t="s">
        <v>66</v>
      </c>
      <c r="G58" s="8" t="s">
        <v>193</v>
      </c>
    </row>
    <row r="59">
      <c r="A59" s="12"/>
      <c r="B59" s="50" t="s">
        <v>194</v>
      </c>
      <c r="C59" s="50">
        <v>13.25</v>
      </c>
      <c r="D59" s="50">
        <v>3.0</v>
      </c>
      <c r="E59" s="50">
        <v>4.4167</v>
      </c>
      <c r="F59" s="50">
        <v>2.4537</v>
      </c>
      <c r="G59" s="51">
        <f t="shared" ref="G59:G61" si="1">_xlfn.F.INV.RT(0.05,3,5)</f>
        <v>5.409451318</v>
      </c>
    </row>
    <row r="60">
      <c r="A60" s="12"/>
      <c r="B60" s="20" t="s">
        <v>122</v>
      </c>
      <c r="C60" s="20">
        <v>52.25</v>
      </c>
      <c r="D60" s="20">
        <v>3.0</v>
      </c>
      <c r="E60" s="20">
        <v>17.4167</v>
      </c>
      <c r="F60" s="20">
        <v>9.6759</v>
      </c>
      <c r="G60" s="20">
        <f t="shared" si="1"/>
        <v>5.409451318</v>
      </c>
      <c r="H60" s="14"/>
    </row>
    <row r="61">
      <c r="A61" s="12"/>
      <c r="B61" s="20" t="s">
        <v>171</v>
      </c>
      <c r="C61" s="20">
        <v>85.25</v>
      </c>
      <c r="D61" s="20">
        <v>3.0</v>
      </c>
      <c r="E61" s="20">
        <v>28.4167</v>
      </c>
      <c r="F61" s="20">
        <v>15.787</v>
      </c>
      <c r="G61" s="21">
        <f t="shared" si="1"/>
        <v>5.409451318</v>
      </c>
      <c r="H61" s="15"/>
      <c r="I61" s="14"/>
    </row>
    <row r="62">
      <c r="A62" s="12"/>
      <c r="B62" s="23" t="s">
        <v>195</v>
      </c>
      <c r="C62" s="23">
        <v>9.0</v>
      </c>
      <c r="D62" s="23">
        <v>5.0</v>
      </c>
      <c r="E62" s="23">
        <v>1.8</v>
      </c>
      <c r="F62" s="25"/>
      <c r="G62" s="25"/>
    </row>
    <row r="63">
      <c r="A63" s="12"/>
      <c r="B63" s="26" t="s">
        <v>72</v>
      </c>
      <c r="C63" s="26">
        <v>159.75</v>
      </c>
      <c r="D63" s="26">
        <v>14.0</v>
      </c>
      <c r="E63" s="26"/>
      <c r="F63" s="28"/>
      <c r="G63" s="28"/>
    </row>
    <row r="64">
      <c r="B64" s="14"/>
    </row>
    <row r="65">
      <c r="B65" s="14" t="s">
        <v>196</v>
      </c>
    </row>
    <row r="66">
      <c r="A66" s="52"/>
      <c r="B66" s="53" t="s">
        <v>197</v>
      </c>
      <c r="C66" s="53" t="s">
        <v>198</v>
      </c>
      <c r="D66" s="52"/>
      <c r="E66" s="52"/>
      <c r="F66" s="52"/>
      <c r="G66" s="52"/>
      <c r="H66" s="52"/>
    </row>
    <row r="67">
      <c r="A67" s="29"/>
      <c r="B67" s="30" t="s">
        <v>73</v>
      </c>
      <c r="C67" s="30" t="s">
        <v>199</v>
      </c>
      <c r="D67" s="29"/>
      <c r="E67" s="29"/>
      <c r="F67" s="29"/>
      <c r="G67" s="29"/>
      <c r="H67" s="29"/>
    </row>
    <row r="68">
      <c r="A68" s="29"/>
      <c r="B68" s="30" t="s">
        <v>73</v>
      </c>
      <c r="C68" s="30" t="s">
        <v>200</v>
      </c>
      <c r="D68" s="29"/>
      <c r="E68" s="29"/>
      <c r="F68" s="29"/>
      <c r="G68" s="29"/>
      <c r="H68" s="29"/>
    </row>
    <row r="69">
      <c r="B69" s="14"/>
    </row>
    <row r="70">
      <c r="A70" s="31" t="s">
        <v>77</v>
      </c>
      <c r="B70" s="31" t="s">
        <v>201</v>
      </c>
      <c r="C70" s="32"/>
      <c r="D70" s="32"/>
      <c r="E70" s="32"/>
      <c r="F70" s="32"/>
      <c r="G70" s="32"/>
      <c r="H70" s="32"/>
    </row>
    <row r="71">
      <c r="B71" s="16" t="s">
        <v>79</v>
      </c>
      <c r="C71" s="16">
        <v>1.8</v>
      </c>
      <c r="D71" s="34"/>
      <c r="E71" s="16" t="s">
        <v>202</v>
      </c>
      <c r="F71" s="16">
        <v>4.0</v>
      </c>
      <c r="G71" s="16" t="s">
        <v>81</v>
      </c>
      <c r="H71" s="16">
        <v>5.0</v>
      </c>
    </row>
    <row r="72">
      <c r="B72" s="16" t="s">
        <v>203</v>
      </c>
      <c r="C72" s="16">
        <v>5.2183</v>
      </c>
      <c r="D72" s="34"/>
      <c r="E72" s="16" t="s">
        <v>204</v>
      </c>
      <c r="F72" s="16">
        <v>3.5006</v>
      </c>
      <c r="G72" s="34"/>
      <c r="H72" s="34"/>
    </row>
    <row r="73">
      <c r="B73" s="14"/>
    </row>
    <row r="74">
      <c r="B74" s="35" t="s">
        <v>205</v>
      </c>
      <c r="C74" s="35" t="s">
        <v>161</v>
      </c>
      <c r="D74" s="35" t="s">
        <v>164</v>
      </c>
      <c r="E74" s="35" t="s">
        <v>163</v>
      </c>
      <c r="F74" s="35" t="s">
        <v>162</v>
      </c>
      <c r="G74" s="41"/>
    </row>
    <row r="75">
      <c r="B75" s="14"/>
      <c r="C75" s="54">
        <v>8.0</v>
      </c>
      <c r="D75" s="54">
        <v>9.75</v>
      </c>
      <c r="E75" s="54">
        <v>10.75</v>
      </c>
      <c r="F75" s="54">
        <v>13.0</v>
      </c>
      <c r="G75" s="42"/>
    </row>
    <row r="76">
      <c r="B76" s="14"/>
    </row>
    <row r="77">
      <c r="B77" s="8" t="s">
        <v>206</v>
      </c>
      <c r="C77" s="8" t="s">
        <v>86</v>
      </c>
      <c r="D77" s="8" t="s">
        <v>207</v>
      </c>
      <c r="E77" s="8" t="s">
        <v>208</v>
      </c>
    </row>
    <row r="78">
      <c r="B78" s="37" t="s">
        <v>209</v>
      </c>
      <c r="C78" s="37">
        <v>5.0</v>
      </c>
      <c r="D78" s="37">
        <v>3.5006</v>
      </c>
      <c r="E78" s="37" t="s">
        <v>90</v>
      </c>
    </row>
    <row r="79">
      <c r="B79" s="39" t="s">
        <v>210</v>
      </c>
      <c r="C79" s="39">
        <v>3.25</v>
      </c>
      <c r="D79" s="39">
        <v>3.5006</v>
      </c>
      <c r="E79" s="39" t="s">
        <v>93</v>
      </c>
    </row>
    <row r="80">
      <c r="B80" s="39" t="s">
        <v>211</v>
      </c>
      <c r="C80" s="39">
        <v>2.25</v>
      </c>
      <c r="D80" s="39">
        <v>3.5006</v>
      </c>
      <c r="E80" s="39" t="s">
        <v>93</v>
      </c>
    </row>
    <row r="81">
      <c r="A81" s="14"/>
      <c r="B81" s="39" t="s">
        <v>212</v>
      </c>
      <c r="C81" s="39">
        <v>2.75</v>
      </c>
      <c r="D81" s="39">
        <v>3.5006</v>
      </c>
      <c r="E81" s="39" t="s">
        <v>93</v>
      </c>
    </row>
    <row r="82">
      <c r="B82" s="39" t="s">
        <v>213</v>
      </c>
      <c r="C82" s="39">
        <v>1.0</v>
      </c>
      <c r="D82" s="39">
        <v>3.5006</v>
      </c>
      <c r="E82" s="39" t="s">
        <v>93</v>
      </c>
      <c r="H82" s="14"/>
    </row>
    <row r="83">
      <c r="B83" s="39" t="s">
        <v>214</v>
      </c>
      <c r="C83" s="39">
        <v>1.75</v>
      </c>
      <c r="D83" s="39">
        <v>3.5006</v>
      </c>
      <c r="E83" s="39" t="s">
        <v>93</v>
      </c>
    </row>
    <row r="85">
      <c r="B85" s="30" t="s">
        <v>215</v>
      </c>
      <c r="C85" s="30" t="s">
        <v>216</v>
      </c>
      <c r="D85" s="29"/>
      <c r="E85" s="29"/>
      <c r="F85" s="29"/>
      <c r="G85" s="29"/>
      <c r="H85" s="29"/>
    </row>
    <row r="86">
      <c r="B86" s="14"/>
      <c r="C86" s="14"/>
      <c r="D86" s="14"/>
      <c r="E86" s="14"/>
      <c r="F86" s="14"/>
    </row>
    <row r="87">
      <c r="A87" s="14" t="s">
        <v>105</v>
      </c>
      <c r="B87" s="14" t="s">
        <v>217</v>
      </c>
      <c r="C87" s="15"/>
      <c r="D87" s="15"/>
      <c r="E87" s="15"/>
      <c r="F87" s="15"/>
      <c r="I87" s="14"/>
    </row>
    <row r="88">
      <c r="A88" s="32"/>
      <c r="B88" s="31" t="s">
        <v>79</v>
      </c>
      <c r="C88" s="31">
        <v>1.8</v>
      </c>
      <c r="D88" s="32"/>
      <c r="E88" s="31" t="s">
        <v>202</v>
      </c>
      <c r="F88" s="31">
        <v>4.0</v>
      </c>
      <c r="G88" s="31" t="s">
        <v>81</v>
      </c>
      <c r="H88" s="31">
        <v>5.0</v>
      </c>
    </row>
    <row r="89">
      <c r="B89" s="16" t="s">
        <v>203</v>
      </c>
      <c r="C89" s="16">
        <v>5.2183</v>
      </c>
      <c r="D89" s="16"/>
      <c r="E89" s="16" t="s">
        <v>204</v>
      </c>
      <c r="F89" s="16">
        <v>3.5006</v>
      </c>
      <c r="G89" s="34"/>
      <c r="H89" s="34"/>
    </row>
    <row r="90">
      <c r="B90" s="16"/>
      <c r="C90" s="34"/>
      <c r="D90" s="34"/>
      <c r="E90" s="34"/>
      <c r="F90" s="34"/>
      <c r="G90" s="34"/>
      <c r="H90" s="34"/>
    </row>
    <row r="91">
      <c r="B91" s="14" t="s">
        <v>218</v>
      </c>
      <c r="C91" s="14" t="s">
        <v>172</v>
      </c>
      <c r="D91" s="14" t="s">
        <v>173</v>
      </c>
      <c r="E91" s="14" t="s">
        <v>175</v>
      </c>
      <c r="F91" s="14" t="s">
        <v>174</v>
      </c>
    </row>
    <row r="92">
      <c r="B92" s="35"/>
      <c r="C92" s="35">
        <v>7.5</v>
      </c>
      <c r="D92" s="35">
        <v>9.25</v>
      </c>
      <c r="E92" s="35">
        <v>11.0</v>
      </c>
      <c r="F92" s="35">
        <v>13.75</v>
      </c>
      <c r="G92" s="41"/>
    </row>
    <row r="93">
      <c r="B93" s="14"/>
      <c r="C93" s="42"/>
      <c r="D93" s="42"/>
      <c r="E93" s="42"/>
      <c r="F93" s="42"/>
      <c r="G93" s="42"/>
    </row>
    <row r="94">
      <c r="B94" s="14" t="s">
        <v>206</v>
      </c>
      <c r="C94" s="14" t="s">
        <v>86</v>
      </c>
      <c r="D94" s="14" t="s">
        <v>207</v>
      </c>
      <c r="E94" s="14" t="s">
        <v>208</v>
      </c>
    </row>
    <row r="95">
      <c r="B95" s="8" t="s">
        <v>219</v>
      </c>
      <c r="C95" s="8">
        <v>6.25</v>
      </c>
      <c r="D95" s="8">
        <v>3.5006</v>
      </c>
      <c r="E95" s="8" t="s">
        <v>90</v>
      </c>
    </row>
    <row r="96">
      <c r="B96" s="37" t="s">
        <v>220</v>
      </c>
      <c r="C96" s="37">
        <v>4.5</v>
      </c>
      <c r="D96" s="37">
        <v>3.5006</v>
      </c>
      <c r="E96" s="37" t="s">
        <v>90</v>
      </c>
    </row>
    <row r="97">
      <c r="B97" s="37" t="s">
        <v>221</v>
      </c>
      <c r="C97" s="37">
        <v>2.75</v>
      </c>
      <c r="D97" s="37">
        <v>3.5006</v>
      </c>
      <c r="E97" s="37" t="s">
        <v>93</v>
      </c>
    </row>
    <row r="98">
      <c r="B98" s="39" t="s">
        <v>222</v>
      </c>
      <c r="C98" s="39">
        <v>3.5</v>
      </c>
      <c r="D98" s="39">
        <v>3.5006</v>
      </c>
      <c r="E98" s="39" t="s">
        <v>93</v>
      </c>
    </row>
    <row r="99">
      <c r="B99" s="39" t="s">
        <v>223</v>
      </c>
      <c r="C99" s="39">
        <v>1.75</v>
      </c>
      <c r="D99" s="39">
        <v>3.5006</v>
      </c>
      <c r="E99" s="39" t="s">
        <v>93</v>
      </c>
    </row>
    <row r="100">
      <c r="B100" s="39" t="s">
        <v>224</v>
      </c>
      <c r="C100" s="39">
        <v>1.75</v>
      </c>
      <c r="D100" s="39">
        <v>3.5006</v>
      </c>
      <c r="E100" s="39" t="s">
        <v>93</v>
      </c>
    </row>
    <row r="101">
      <c r="B101" s="12"/>
      <c r="C101" s="12"/>
      <c r="D101" s="12"/>
      <c r="E101" s="12"/>
    </row>
    <row r="102">
      <c r="B102" s="14" t="s">
        <v>215</v>
      </c>
      <c r="C102" s="14" t="s">
        <v>225</v>
      </c>
    </row>
    <row r="103">
      <c r="B103" s="29"/>
      <c r="C103" s="30" t="s">
        <v>226</v>
      </c>
      <c r="D103" s="29"/>
      <c r="E103" s="29"/>
      <c r="F103" s="29"/>
      <c r="G103" s="29"/>
      <c r="H103" s="29"/>
    </row>
    <row r="104">
      <c r="B104" s="29"/>
      <c r="C104" s="29"/>
      <c r="D104" s="29"/>
      <c r="E104" s="29"/>
      <c r="F104" s="29"/>
      <c r="G104" s="29"/>
      <c r="H104" s="29"/>
    </row>
    <row r="105">
      <c r="B105" s="29"/>
      <c r="C105" s="29"/>
      <c r="D105" s="29"/>
      <c r="E105" s="29"/>
      <c r="F105" s="29"/>
      <c r="G105" s="29"/>
      <c r="H105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227</v>
      </c>
      <c r="B1" s="2"/>
      <c r="C1" s="2"/>
      <c r="D1" s="2"/>
      <c r="E1" s="2"/>
      <c r="F1" s="2"/>
    </row>
    <row r="2">
      <c r="A2" s="55" t="s">
        <v>228</v>
      </c>
      <c r="B2" s="56"/>
      <c r="C2" s="56"/>
      <c r="D2" s="56"/>
      <c r="E2" s="56"/>
      <c r="F2" s="56"/>
    </row>
    <row r="4">
      <c r="A4" s="5" t="s">
        <v>2</v>
      </c>
      <c r="B4" s="6"/>
      <c r="C4" s="6"/>
      <c r="D4" s="6"/>
      <c r="E4" s="6"/>
      <c r="F4" s="6"/>
    </row>
    <row r="5">
      <c r="A5" s="5"/>
      <c r="B5" s="43"/>
      <c r="C5" s="5" t="s">
        <v>229</v>
      </c>
      <c r="D5" s="6"/>
      <c r="E5" s="6"/>
      <c r="F5" s="6"/>
    </row>
    <row r="6">
      <c r="A6" s="8" t="s">
        <v>230</v>
      </c>
      <c r="B6" s="7"/>
      <c r="C6" s="8">
        <v>1.0</v>
      </c>
      <c r="D6" s="8">
        <v>2.0</v>
      </c>
      <c r="E6" s="8">
        <v>3.0</v>
      </c>
      <c r="F6" s="8">
        <v>4.0</v>
      </c>
    </row>
    <row r="7">
      <c r="A7" s="9" t="s">
        <v>11</v>
      </c>
      <c r="B7" s="10"/>
      <c r="C7" s="39" t="s">
        <v>231</v>
      </c>
      <c r="D7" s="39" t="s">
        <v>133</v>
      </c>
      <c r="E7" s="39" t="s">
        <v>232</v>
      </c>
      <c r="F7" s="39" t="s">
        <v>233</v>
      </c>
    </row>
    <row r="8">
      <c r="A8" s="9" t="s">
        <v>12</v>
      </c>
      <c r="B8" s="9"/>
      <c r="C8" s="39" t="s">
        <v>234</v>
      </c>
      <c r="D8" s="39" t="s">
        <v>235</v>
      </c>
      <c r="E8" s="39" t="s">
        <v>125</v>
      </c>
      <c r="F8" s="39" t="s">
        <v>236</v>
      </c>
    </row>
    <row r="9">
      <c r="A9" s="9" t="s">
        <v>13</v>
      </c>
      <c r="B9" s="9"/>
      <c r="C9" s="39" t="s">
        <v>237</v>
      </c>
      <c r="D9" s="39" t="s">
        <v>238</v>
      </c>
      <c r="E9" s="39" t="s">
        <v>239</v>
      </c>
      <c r="F9" s="39" t="s">
        <v>240</v>
      </c>
    </row>
    <row r="10">
      <c r="A10" s="9" t="s">
        <v>14</v>
      </c>
      <c r="B10" s="9"/>
      <c r="C10" s="39" t="s">
        <v>241</v>
      </c>
      <c r="D10" s="39" t="s">
        <v>242</v>
      </c>
      <c r="E10" s="39" t="s">
        <v>243</v>
      </c>
      <c r="F10" s="39" t="s">
        <v>232</v>
      </c>
    </row>
    <row r="11">
      <c r="A11" s="14"/>
      <c r="B11" s="14"/>
      <c r="C11" s="14"/>
      <c r="D11" s="14"/>
      <c r="E11" s="14"/>
    </row>
    <row r="12">
      <c r="A12" s="13" t="s">
        <v>15</v>
      </c>
      <c r="B12" s="14"/>
      <c r="C12" s="14"/>
      <c r="D12" s="14"/>
      <c r="E12" s="14"/>
    </row>
    <row r="14">
      <c r="A14" s="14" t="s">
        <v>16</v>
      </c>
      <c r="B14" s="14" t="s">
        <v>140</v>
      </c>
      <c r="C14" s="14">
        <v>4.0</v>
      </c>
      <c r="E14" s="14" t="s">
        <v>141</v>
      </c>
      <c r="F14" s="14">
        <v>16.0</v>
      </c>
    </row>
    <row r="15">
      <c r="B15" s="14"/>
      <c r="C15" s="14"/>
      <c r="D15" s="14"/>
      <c r="E15" s="14"/>
    </row>
    <row r="16">
      <c r="A16" s="5" t="s">
        <v>21</v>
      </c>
      <c r="B16" s="43"/>
      <c r="C16" s="43"/>
      <c r="D16" s="43"/>
      <c r="E16" s="43"/>
      <c r="F16" s="6"/>
    </row>
    <row r="17">
      <c r="A17" s="16" t="s">
        <v>244</v>
      </c>
      <c r="B17" s="14" t="s">
        <v>23</v>
      </c>
      <c r="C17" s="14" t="s">
        <v>245</v>
      </c>
      <c r="D17" s="15"/>
      <c r="E17" s="14" t="s">
        <v>25</v>
      </c>
      <c r="F17" s="14" t="s">
        <v>26</v>
      </c>
    </row>
    <row r="18">
      <c r="A18" s="16" t="s">
        <v>246</v>
      </c>
      <c r="B18" s="14" t="s">
        <v>23</v>
      </c>
      <c r="C18" s="14" t="s">
        <v>28</v>
      </c>
      <c r="D18" s="15"/>
      <c r="E18" s="14" t="s">
        <v>25</v>
      </c>
      <c r="F18" s="14" t="s">
        <v>26</v>
      </c>
    </row>
    <row r="19">
      <c r="A19" s="16" t="s">
        <v>247</v>
      </c>
      <c r="B19" s="14" t="s">
        <v>23</v>
      </c>
      <c r="C19" s="14" t="s">
        <v>145</v>
      </c>
      <c r="D19" s="15"/>
      <c r="E19" s="14" t="s">
        <v>25</v>
      </c>
      <c r="F19" s="14" t="s">
        <v>26</v>
      </c>
    </row>
    <row r="21">
      <c r="A21" s="5" t="s">
        <v>248</v>
      </c>
      <c r="B21" s="6"/>
      <c r="C21" s="6"/>
      <c r="D21" s="6"/>
      <c r="E21" s="6"/>
      <c r="F21" s="6"/>
      <c r="G21" s="6"/>
      <c r="H21" s="6"/>
    </row>
    <row r="22">
      <c r="A22" s="10"/>
      <c r="B22" s="9"/>
      <c r="C22" s="9" t="s">
        <v>249</v>
      </c>
      <c r="D22" s="9" t="s">
        <v>250</v>
      </c>
      <c r="E22" s="9" t="s">
        <v>251</v>
      </c>
      <c r="F22" s="9" t="s">
        <v>252</v>
      </c>
      <c r="G22" s="9" t="s">
        <v>253</v>
      </c>
      <c r="H22" s="9" t="s">
        <v>166</v>
      </c>
    </row>
    <row r="23">
      <c r="A23" s="9" t="s">
        <v>11</v>
      </c>
      <c r="B23" s="10"/>
      <c r="C23" s="39">
        <v>16.0</v>
      </c>
      <c r="D23" s="39">
        <v>10.0</v>
      </c>
      <c r="E23" s="39">
        <v>11.0</v>
      </c>
      <c r="F23" s="39">
        <v>13.0</v>
      </c>
      <c r="G23" s="39">
        <v>50.0</v>
      </c>
      <c r="H23" s="39">
        <v>12.5</v>
      </c>
    </row>
    <row r="24">
      <c r="A24" s="9" t="s">
        <v>12</v>
      </c>
      <c r="B24" s="10"/>
      <c r="C24" s="39">
        <v>15.0</v>
      </c>
      <c r="D24" s="39">
        <v>9.0</v>
      </c>
      <c r="E24" s="39">
        <v>14.0</v>
      </c>
      <c r="F24" s="39">
        <v>13.0</v>
      </c>
      <c r="G24" s="39">
        <v>51.0</v>
      </c>
      <c r="H24" s="39">
        <v>12.75</v>
      </c>
    </row>
    <row r="25">
      <c r="A25" s="9" t="s">
        <v>13</v>
      </c>
      <c r="B25" s="10"/>
      <c r="C25" s="39">
        <v>13.0</v>
      </c>
      <c r="D25" s="39">
        <v>12.0</v>
      </c>
      <c r="E25" s="39">
        <v>17.0</v>
      </c>
      <c r="F25" s="39">
        <v>14.0</v>
      </c>
      <c r="G25" s="39">
        <v>56.0</v>
      </c>
      <c r="H25" s="39">
        <v>14.0</v>
      </c>
    </row>
    <row r="26">
      <c r="A26" s="9" t="s">
        <v>14</v>
      </c>
      <c r="B26" s="10"/>
      <c r="C26" s="39">
        <v>16.0</v>
      </c>
      <c r="D26" s="39">
        <v>15.0</v>
      </c>
      <c r="E26" s="39">
        <v>13.0</v>
      </c>
      <c r="F26" s="39">
        <v>11.0</v>
      </c>
      <c r="G26" s="39">
        <v>55.0</v>
      </c>
      <c r="H26" s="39">
        <v>13.75</v>
      </c>
    </row>
    <row r="27">
      <c r="A27" s="9" t="s">
        <v>254</v>
      </c>
      <c r="B27" s="10"/>
      <c r="C27" s="9">
        <v>60.0</v>
      </c>
      <c r="D27" s="9">
        <v>46.0</v>
      </c>
      <c r="E27" s="9">
        <v>55.0</v>
      </c>
      <c r="F27" s="9">
        <v>51.0</v>
      </c>
      <c r="G27" s="9">
        <v>212.0</v>
      </c>
      <c r="H27" s="9" t="s">
        <v>169</v>
      </c>
    </row>
    <row r="28">
      <c r="A28" s="9" t="s">
        <v>166</v>
      </c>
      <c r="B28" s="10"/>
      <c r="C28" s="9">
        <v>15.0</v>
      </c>
      <c r="D28" s="9">
        <v>11.5</v>
      </c>
      <c r="E28" s="9">
        <v>13.75</v>
      </c>
      <c r="F28" s="9">
        <v>12.75</v>
      </c>
      <c r="G28" s="10"/>
      <c r="H28" s="10"/>
    </row>
    <row r="29">
      <c r="A29" s="14"/>
    </row>
    <row r="30">
      <c r="A30" s="5" t="s">
        <v>255</v>
      </c>
      <c r="B30" s="5"/>
      <c r="C30" s="5"/>
      <c r="D30" s="5"/>
      <c r="E30" s="5"/>
      <c r="F30" s="5"/>
      <c r="G30" s="6"/>
    </row>
    <row r="31">
      <c r="A31" s="9"/>
      <c r="B31" s="9" t="s">
        <v>256</v>
      </c>
      <c r="C31" s="9" t="s">
        <v>172</v>
      </c>
      <c r="D31" s="9" t="s">
        <v>173</v>
      </c>
      <c r="E31" s="9" t="s">
        <v>174</v>
      </c>
      <c r="F31" s="9" t="s">
        <v>175</v>
      </c>
      <c r="G31" s="9" t="s">
        <v>169</v>
      </c>
    </row>
    <row r="32">
      <c r="A32" s="12"/>
      <c r="B32" s="39" t="s">
        <v>176</v>
      </c>
      <c r="C32" s="39">
        <v>61.0</v>
      </c>
      <c r="D32" s="39">
        <v>52.0</v>
      </c>
      <c r="E32" s="39">
        <v>44.0</v>
      </c>
      <c r="F32" s="39">
        <v>55.0</v>
      </c>
      <c r="G32" s="39">
        <v>212.0</v>
      </c>
    </row>
    <row r="33">
      <c r="A33" s="39"/>
      <c r="B33" s="39" t="s">
        <v>177</v>
      </c>
      <c r="C33" s="39">
        <v>15.25</v>
      </c>
      <c r="D33" s="39">
        <v>13.0</v>
      </c>
      <c r="E33" s="39">
        <v>11.0</v>
      </c>
      <c r="F33" s="39">
        <v>13.75</v>
      </c>
      <c r="G33" s="12"/>
    </row>
    <row r="35">
      <c r="A35" s="5" t="s">
        <v>36</v>
      </c>
      <c r="B35" s="14" t="s">
        <v>37</v>
      </c>
      <c r="C35" s="14" t="s">
        <v>38</v>
      </c>
      <c r="D35" s="14" t="s">
        <v>257</v>
      </c>
      <c r="E35" s="49">
        <v>2809.0</v>
      </c>
    </row>
    <row r="37">
      <c r="A37" s="5" t="s">
        <v>40</v>
      </c>
      <c r="B37" s="14" t="s">
        <v>41</v>
      </c>
      <c r="C37" s="14" t="s">
        <v>179</v>
      </c>
      <c r="D37" s="14" t="s">
        <v>258</v>
      </c>
      <c r="E37" s="49">
        <v>77.0</v>
      </c>
    </row>
    <row r="39">
      <c r="A39" s="5" t="s">
        <v>44</v>
      </c>
      <c r="B39" s="14" t="s">
        <v>259</v>
      </c>
      <c r="C39" s="14" t="s">
        <v>182</v>
      </c>
      <c r="D39" s="14" t="s">
        <v>260</v>
      </c>
      <c r="E39" s="49">
        <v>6.5</v>
      </c>
    </row>
    <row r="41">
      <c r="A41" s="5" t="s">
        <v>48</v>
      </c>
      <c r="B41" s="14" t="s">
        <v>261</v>
      </c>
      <c r="C41" s="14" t="s">
        <v>185</v>
      </c>
      <c r="D41" s="14" t="s">
        <v>262</v>
      </c>
      <c r="E41" s="49">
        <v>26.5</v>
      </c>
    </row>
    <row r="43">
      <c r="A43" s="5" t="s">
        <v>52</v>
      </c>
      <c r="B43" s="14" t="s">
        <v>263</v>
      </c>
      <c r="C43" s="14" t="s">
        <v>188</v>
      </c>
      <c r="D43" s="14" t="s">
        <v>264</v>
      </c>
      <c r="E43" s="49">
        <v>37.5</v>
      </c>
    </row>
    <row r="45">
      <c r="A45" s="5" t="s">
        <v>56</v>
      </c>
      <c r="B45" s="14" t="s">
        <v>57</v>
      </c>
      <c r="C45" s="14" t="s">
        <v>190</v>
      </c>
      <c r="D45" s="14" t="s">
        <v>265</v>
      </c>
      <c r="E45" s="49">
        <v>6.5</v>
      </c>
    </row>
    <row r="46">
      <c r="B46" s="14"/>
      <c r="C46" s="14"/>
      <c r="D46" s="14"/>
      <c r="E46" s="14"/>
      <c r="F46" s="14"/>
      <c r="G46" s="14"/>
    </row>
    <row r="47">
      <c r="A47" s="13" t="s">
        <v>60</v>
      </c>
      <c r="B47" s="13" t="s">
        <v>61</v>
      </c>
      <c r="C47" s="19"/>
      <c r="D47" s="19"/>
      <c r="E47" s="19"/>
      <c r="F47" s="19"/>
      <c r="G47" s="19"/>
      <c r="H47" s="19"/>
    </row>
    <row r="48">
      <c r="A48" s="7"/>
      <c r="B48" s="8" t="s">
        <v>62</v>
      </c>
      <c r="C48" s="8" t="s">
        <v>63</v>
      </c>
      <c r="D48" s="8" t="s">
        <v>64</v>
      </c>
      <c r="E48" s="8" t="s">
        <v>65</v>
      </c>
      <c r="F48" s="8" t="s">
        <v>66</v>
      </c>
      <c r="G48" s="8" t="s">
        <v>193</v>
      </c>
    </row>
    <row r="49">
      <c r="A49" s="12"/>
      <c r="B49" s="50" t="s">
        <v>230</v>
      </c>
      <c r="C49" s="50">
        <v>6.5</v>
      </c>
      <c r="D49" s="50">
        <v>3.0</v>
      </c>
      <c r="E49" s="50">
        <v>2.1667</v>
      </c>
      <c r="F49" s="50">
        <v>2.0</v>
      </c>
      <c r="G49" s="51">
        <f t="shared" ref="G49:G51" si="1">_xlfn.F.INV.RT(0.05,3,6)</f>
        <v>4.757062663</v>
      </c>
    </row>
    <row r="50">
      <c r="A50" s="12"/>
      <c r="B50" s="20" t="s">
        <v>229</v>
      </c>
      <c r="C50" s="20">
        <v>26.5</v>
      </c>
      <c r="D50" s="20">
        <v>3.0</v>
      </c>
      <c r="E50" s="20">
        <v>8.8333</v>
      </c>
      <c r="F50" s="20">
        <v>8.1538</v>
      </c>
      <c r="G50" s="22">
        <f t="shared" si="1"/>
        <v>4.757062663</v>
      </c>
    </row>
    <row r="51">
      <c r="A51" s="12"/>
      <c r="B51" s="20" t="s">
        <v>256</v>
      </c>
      <c r="C51" s="20">
        <v>37.5</v>
      </c>
      <c r="D51" s="20">
        <v>3.0</v>
      </c>
      <c r="E51" s="20">
        <v>12.5</v>
      </c>
      <c r="F51" s="20">
        <v>11.5385</v>
      </c>
      <c r="G51" s="22">
        <f t="shared" si="1"/>
        <v>4.757062663</v>
      </c>
    </row>
    <row r="52">
      <c r="A52" s="12"/>
      <c r="B52" s="23" t="s">
        <v>71</v>
      </c>
      <c r="C52" s="23">
        <v>6.5</v>
      </c>
      <c r="D52" s="23">
        <v>6.0</v>
      </c>
      <c r="E52" s="23">
        <v>1.0833</v>
      </c>
      <c r="F52" s="25"/>
      <c r="G52" s="25"/>
    </row>
    <row r="53">
      <c r="A53" s="12"/>
      <c r="B53" s="26" t="s">
        <v>72</v>
      </c>
      <c r="C53" s="26">
        <v>77.0</v>
      </c>
      <c r="D53" s="26">
        <v>15.0</v>
      </c>
      <c r="E53" s="28"/>
      <c r="F53" s="28"/>
      <c r="G53" s="28"/>
    </row>
    <row r="54">
      <c r="C54" s="14"/>
    </row>
    <row r="55">
      <c r="A55" s="52"/>
      <c r="B55" s="53" t="s">
        <v>197</v>
      </c>
      <c r="C55" s="53" t="s">
        <v>266</v>
      </c>
      <c r="D55" s="52"/>
      <c r="E55" s="52"/>
      <c r="F55" s="52"/>
      <c r="G55" s="52"/>
      <c r="H55" s="52"/>
    </row>
    <row r="56">
      <c r="A56" s="29"/>
      <c r="B56" s="30" t="s">
        <v>73</v>
      </c>
      <c r="C56" s="30" t="s">
        <v>267</v>
      </c>
      <c r="D56" s="29"/>
      <c r="E56" s="29"/>
      <c r="F56" s="29"/>
      <c r="G56" s="29"/>
      <c r="H56" s="29"/>
    </row>
    <row r="57">
      <c r="A57" s="30"/>
      <c r="B57" s="30" t="s">
        <v>73</v>
      </c>
      <c r="C57" s="30" t="s">
        <v>268</v>
      </c>
      <c r="D57" s="29"/>
      <c r="E57" s="29"/>
      <c r="F57" s="29"/>
      <c r="G57" s="29"/>
      <c r="H57" s="29"/>
    </row>
    <row r="58">
      <c r="B58" s="14"/>
      <c r="D58" s="14"/>
      <c r="F58" s="14"/>
    </row>
    <row r="59">
      <c r="A59" s="31" t="s">
        <v>77</v>
      </c>
      <c r="B59" s="31" t="s">
        <v>269</v>
      </c>
      <c r="C59" s="31"/>
      <c r="D59" s="32"/>
      <c r="E59" s="31"/>
      <c r="F59" s="32"/>
      <c r="G59" s="32"/>
      <c r="H59" s="32"/>
    </row>
    <row r="60">
      <c r="B60" s="16" t="s">
        <v>79</v>
      </c>
      <c r="C60" s="16">
        <v>1.0833</v>
      </c>
      <c r="D60" s="34"/>
      <c r="E60" s="16" t="s">
        <v>202</v>
      </c>
      <c r="F60" s="16">
        <v>4.0</v>
      </c>
      <c r="G60" s="16" t="s">
        <v>81</v>
      </c>
      <c r="H60" s="16">
        <v>6.0</v>
      </c>
    </row>
    <row r="61">
      <c r="B61" s="16" t="s">
        <v>270</v>
      </c>
      <c r="C61" s="16">
        <v>4.8957</v>
      </c>
      <c r="D61" s="34"/>
      <c r="E61" s="16" t="s">
        <v>204</v>
      </c>
      <c r="F61" s="16">
        <v>2.5478</v>
      </c>
      <c r="G61" s="34"/>
      <c r="H61" s="34"/>
    </row>
    <row r="62">
      <c r="C62" s="14"/>
      <c r="E62" s="14"/>
    </row>
    <row r="63">
      <c r="B63" s="35" t="s">
        <v>271</v>
      </c>
      <c r="C63" s="35" t="s">
        <v>174</v>
      </c>
      <c r="D63" s="35" t="s">
        <v>173</v>
      </c>
      <c r="E63" s="35" t="s">
        <v>175</v>
      </c>
      <c r="F63" s="35" t="s">
        <v>172</v>
      </c>
    </row>
    <row r="64">
      <c r="B64" s="14"/>
      <c r="C64" s="54">
        <v>11.0</v>
      </c>
      <c r="D64" s="54">
        <v>13.0</v>
      </c>
      <c r="E64" s="54">
        <v>13.75</v>
      </c>
      <c r="F64" s="54">
        <v>15.25</v>
      </c>
    </row>
    <row r="65">
      <c r="B65" s="14"/>
      <c r="C65" s="14"/>
      <c r="D65" s="14"/>
      <c r="E65" s="14"/>
      <c r="F65" s="14"/>
    </row>
    <row r="66">
      <c r="B66" s="8" t="s">
        <v>206</v>
      </c>
      <c r="C66" s="8" t="s">
        <v>86</v>
      </c>
      <c r="D66" s="8" t="s">
        <v>207</v>
      </c>
      <c r="E66" s="8" t="s">
        <v>208</v>
      </c>
      <c r="F66" s="15"/>
      <c r="G66" s="14"/>
    </row>
    <row r="67">
      <c r="B67" s="37" t="s">
        <v>272</v>
      </c>
      <c r="C67" s="37">
        <v>4.25</v>
      </c>
      <c r="D67" s="37">
        <v>2.5478</v>
      </c>
      <c r="E67" s="37" t="s">
        <v>90</v>
      </c>
    </row>
    <row r="68">
      <c r="B68" s="39" t="s">
        <v>273</v>
      </c>
      <c r="C68" s="39">
        <v>1.5</v>
      </c>
      <c r="D68" s="39">
        <v>2.5478</v>
      </c>
      <c r="E68" s="39" t="s">
        <v>93</v>
      </c>
    </row>
    <row r="69">
      <c r="B69" s="39" t="s">
        <v>274</v>
      </c>
      <c r="C69" s="39">
        <v>2.25</v>
      </c>
      <c r="D69" s="39">
        <v>2.5478</v>
      </c>
      <c r="E69" s="39" t="s">
        <v>93</v>
      </c>
    </row>
    <row r="70">
      <c r="B70" s="37" t="s">
        <v>275</v>
      </c>
      <c r="C70" s="37">
        <v>2.75</v>
      </c>
      <c r="D70" s="37">
        <v>2.5478</v>
      </c>
      <c r="E70" s="37" t="s">
        <v>90</v>
      </c>
    </row>
    <row r="71">
      <c r="B71" s="39" t="s">
        <v>223</v>
      </c>
      <c r="C71" s="39">
        <v>0.75</v>
      </c>
      <c r="D71" s="39">
        <v>2.5478</v>
      </c>
      <c r="E71" s="39" t="s">
        <v>93</v>
      </c>
    </row>
    <row r="72">
      <c r="B72" s="39" t="s">
        <v>276</v>
      </c>
      <c r="C72" s="39">
        <v>2.0</v>
      </c>
      <c r="D72" s="39">
        <v>2.5478</v>
      </c>
      <c r="E72" s="39" t="s">
        <v>93</v>
      </c>
    </row>
    <row r="73">
      <c r="B73" s="14"/>
    </row>
    <row r="74">
      <c r="B74" s="30" t="s">
        <v>215</v>
      </c>
      <c r="C74" s="30" t="s">
        <v>277</v>
      </c>
      <c r="D74" s="29"/>
      <c r="E74" s="29"/>
      <c r="F74" s="29"/>
      <c r="G74" s="29"/>
      <c r="H74" s="29"/>
    </row>
    <row r="75">
      <c r="B75" s="30"/>
      <c r="C75" s="30" t="s">
        <v>278</v>
      </c>
      <c r="D75" s="29"/>
      <c r="E75" s="29"/>
      <c r="F75" s="29"/>
      <c r="G75" s="29"/>
      <c r="H75" s="29"/>
    </row>
    <row r="76">
      <c r="B76" s="29"/>
      <c r="C76" s="30" t="s">
        <v>279</v>
      </c>
      <c r="D76" s="29"/>
      <c r="E76" s="29"/>
      <c r="F76" s="29"/>
      <c r="G76" s="29"/>
      <c r="H76" s="29"/>
    </row>
  </sheetData>
  <drawing r:id="rId1"/>
</worksheet>
</file>